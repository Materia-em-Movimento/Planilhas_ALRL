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12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lui\OneDrive\Área de Trabalho\"/>
    </mc:Choice>
  </mc:AlternateContent>
  <xr:revisionPtr revIDLastSave="0" documentId="13_ncr:1_{FFA24A8E-EA5F-4AF5-BA6C-5436AFD9A5AA}" xr6:coauthVersionLast="47" xr6:coauthVersionMax="47" xr10:uidLastSave="{00000000-0000-0000-0000-000000000000}"/>
  <bookViews>
    <workbookView xWindow="-110" yWindow="-110" windowWidth="19420" windowHeight="11020" tabRatio="928" activeTab="7" xr2:uid="{00000000-000D-0000-FFFF-FFFF00000000}"/>
  </bookViews>
  <sheets>
    <sheet name="N" sheetId="7" r:id="rId1"/>
    <sheet name="K" sheetId="5" r:id="rId2"/>
    <sheet name="P" sheetId="6" r:id="rId3"/>
    <sheet name="S" sheetId="2" r:id="rId4"/>
    <sheet name="B" sheetId="3" r:id="rId5"/>
    <sheet name="BA" sheetId="13" r:id="rId6"/>
    <sheet name="GSI - AUTOMÁTIC" sheetId="17" r:id="rId7"/>
    <sheet name="EXPORTAR_TUDO" sheetId="18" r:id="rId8"/>
    <sheet name="UMID-DUR-ESFER" sheetId="9" r:id="rId9"/>
    <sheet name="PAD - SOL" sheetId="12" r:id="rId10"/>
    <sheet name="GSI - Automatico - MYLIMS" sheetId="15" state="hidden" r:id="rId11"/>
    <sheet name="Exemple" sheetId="19" state="hidden" r:id="rId12"/>
    <sheet name="GRANUL. ANTIGA" sheetId="8" state="hidden" r:id="rId13"/>
    <sheet name="Bagunça" sheetId="1" state="hidden" r:id="rId14"/>
    <sheet name="Exportar_Análise" sheetId="4" state="hidden" r:id="rId15"/>
    <sheet name="GRANUL. MY LIMS" sheetId="16" state="hidden" r:id="rId16"/>
  </sheets>
  <definedNames>
    <definedName name="approver" localSheetId="15">#REF!</definedName>
    <definedName name="approver" localSheetId="6">#REF!</definedName>
    <definedName name="approver" localSheetId="10">#REF!</definedName>
    <definedName name="approver">#REF!</definedName>
    <definedName name="B">B!$O$7:$P$12</definedName>
    <definedName name="BA">BA!$J$7:$K$11</definedName>
    <definedName name="date" localSheetId="15">#REF!</definedName>
    <definedName name="date" localSheetId="6">#REF!</definedName>
    <definedName name="date" localSheetId="10">#REF!</definedName>
    <definedName name="date">#REF!</definedName>
    <definedName name="elaborator" localSheetId="15">#REF!</definedName>
    <definedName name="elaborator" localSheetId="6">#REF!</definedName>
    <definedName name="elaborator" localSheetId="10">#REF!</definedName>
    <definedName name="elaborator">#REF!</definedName>
    <definedName name="Granul_Retida1">'GSI - AUTOMÁTIC'!$AM$3:$AN$13</definedName>
    <definedName name="Granul_Retida2">'GSI - AUTOMÁTIC'!$H$5:$I$12</definedName>
    <definedName name="K">K!$J$7:$K$10</definedName>
    <definedName name="N_Com">N!$J$8:$K$11</definedName>
    <definedName name="N_Sem">N!$T$8:$U$10</definedName>
    <definedName name="number">#REF!</definedName>
    <definedName name="P">P!$J$7:$K$10</definedName>
    <definedName name="revision">#REF!</definedName>
    <definedName name="S">S!$I$7:$J$11</definedName>
    <definedName name="Salde">N!$J$8:$K$11</definedName>
    <definedName name="sdddemitent">#REF!</definedName>
    <definedName name="sddvemitente">#REF!</definedName>
    <definedName name="titl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2" i="18" l="1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L7" i="3"/>
  <c r="L8" i="3"/>
  <c r="L9" i="3"/>
  <c r="L10" i="3"/>
  <c r="L11" i="3"/>
  <c r="L12" i="3"/>
  <c r="L13" i="3"/>
  <c r="L14" i="3"/>
  <c r="L15" i="3"/>
  <c r="L16" i="3"/>
  <c r="L6" i="3"/>
  <c r="P11" i="3"/>
  <c r="H14" i="13"/>
  <c r="H13" i="13"/>
  <c r="H12" i="13"/>
  <c r="H11" i="13"/>
  <c r="H10" i="13"/>
  <c r="H9" i="13"/>
  <c r="H8" i="13"/>
  <c r="H7" i="13"/>
  <c r="H6" i="13"/>
  <c r="K8" i="13"/>
  <c r="K9" i="13"/>
  <c r="K10" i="13"/>
  <c r="K11" i="13"/>
  <c r="K7" i="13"/>
  <c r="P8" i="3"/>
  <c r="P9" i="3"/>
  <c r="P10" i="3"/>
  <c r="P7" i="3"/>
  <c r="J8" i="2"/>
  <c r="J9" i="2"/>
  <c r="J7" i="2"/>
  <c r="K8" i="6"/>
  <c r="K9" i="6"/>
  <c r="K10" i="6"/>
  <c r="K7" i="6"/>
  <c r="K8" i="5"/>
  <c r="K9" i="5"/>
  <c r="K10" i="5"/>
  <c r="K7" i="5"/>
  <c r="K9" i="7" l="1"/>
  <c r="Q7" i="19" l="1"/>
  <c r="J7" i="19"/>
  <c r="N7" i="19" s="1"/>
  <c r="I44" i="19"/>
  <c r="J40" i="19"/>
  <c r="J36" i="19"/>
  <c r="J32" i="19"/>
  <c r="I32" i="19"/>
  <c r="H28" i="19"/>
  <c r="I28" i="19" s="1"/>
  <c r="N24" i="19"/>
  <c r="G24" i="19"/>
  <c r="K24" i="19" s="1"/>
  <c r="I20" i="19"/>
  <c r="J20" i="19" s="1"/>
  <c r="G6" i="13"/>
  <c r="E7" i="3"/>
  <c r="E8" i="3"/>
  <c r="E9" i="3"/>
  <c r="E10" i="3"/>
  <c r="E11" i="3"/>
  <c r="E12" i="3"/>
  <c r="E13" i="3"/>
  <c r="E14" i="3"/>
  <c r="E15" i="3"/>
  <c r="E16" i="3"/>
  <c r="I16" i="3" s="1"/>
  <c r="E17" i="3"/>
  <c r="E18" i="3"/>
  <c r="E19" i="3"/>
  <c r="I19" i="3" s="1"/>
  <c r="E20" i="3"/>
  <c r="I20" i="3" s="1"/>
  <c r="I10" i="3"/>
  <c r="I14" i="3"/>
  <c r="I18" i="3"/>
  <c r="A15" i="17"/>
  <c r="AM13" i="17" s="1"/>
  <c r="AM4" i="17"/>
  <c r="AM5" i="17"/>
  <c r="AM6" i="17"/>
  <c r="AM7" i="17"/>
  <c r="AM8" i="17"/>
  <c r="AM9" i="17"/>
  <c r="AM10" i="17"/>
  <c r="AM11" i="17"/>
  <c r="AM12" i="17"/>
  <c r="H12" i="17"/>
  <c r="H10" i="17"/>
  <c r="H8" i="17"/>
  <c r="H6" i="17"/>
  <c r="AM3" i="17"/>
  <c r="R6" i="7"/>
  <c r="E17" i="18" s="1"/>
  <c r="K8" i="7"/>
  <c r="D20" i="4"/>
  <c r="H20" i="4"/>
  <c r="K20" i="4"/>
  <c r="G21" i="12"/>
  <c r="G20" i="12"/>
  <c r="G19" i="12"/>
  <c r="I20" i="12" s="1"/>
  <c r="G14" i="12"/>
  <c r="G13" i="12"/>
  <c r="G12" i="12"/>
  <c r="I13" i="12" s="1"/>
  <c r="G7" i="12"/>
  <c r="G6" i="12"/>
  <c r="G5" i="12"/>
  <c r="I6" i="12" s="1"/>
  <c r="F30" i="1"/>
  <c r="I27" i="1"/>
  <c r="H27" i="1"/>
  <c r="H22" i="1"/>
  <c r="H21" i="1"/>
  <c r="H20" i="1"/>
  <c r="H17" i="1"/>
  <c r="G17" i="1"/>
  <c r="H16" i="1"/>
  <c r="G16" i="1"/>
  <c r="H15" i="1"/>
  <c r="G15" i="1"/>
  <c r="M10" i="1"/>
  <c r="G10" i="1"/>
  <c r="M9" i="1"/>
  <c r="G9" i="1"/>
  <c r="G5" i="1"/>
  <c r="F5" i="1"/>
  <c r="G4" i="1"/>
  <c r="F4" i="1"/>
  <c r="C42" i="9"/>
  <c r="J27" i="9"/>
  <c r="E27" i="9"/>
  <c r="J26" i="9"/>
  <c r="E26" i="9"/>
  <c r="J25" i="9"/>
  <c r="E25" i="9"/>
  <c r="J24" i="9"/>
  <c r="E24" i="9"/>
  <c r="J23" i="9"/>
  <c r="E23" i="9"/>
  <c r="G18" i="9"/>
  <c r="E18" i="9"/>
  <c r="G17" i="9"/>
  <c r="E17" i="9"/>
  <c r="G16" i="9"/>
  <c r="E16" i="9"/>
  <c r="G15" i="9"/>
  <c r="E15" i="9"/>
  <c r="G14" i="9"/>
  <c r="E14" i="9"/>
  <c r="G13" i="9"/>
  <c r="E13" i="9"/>
  <c r="G12" i="9"/>
  <c r="E12" i="9"/>
  <c r="G11" i="9"/>
  <c r="E11" i="9"/>
  <c r="G10" i="9"/>
  <c r="E10" i="9"/>
  <c r="G9" i="9"/>
  <c r="E9" i="9"/>
  <c r="G8" i="9"/>
  <c r="E8" i="9"/>
  <c r="G7" i="9"/>
  <c r="E7" i="9"/>
  <c r="G6" i="9"/>
  <c r="E6" i="9"/>
  <c r="G5" i="9"/>
  <c r="E5" i="9"/>
  <c r="G4" i="9"/>
  <c r="E4" i="9"/>
  <c r="Q36" i="8"/>
  <c r="P36" i="8"/>
  <c r="Q35" i="8"/>
  <c r="Q34" i="8"/>
  <c r="Q33" i="8"/>
  <c r="Q32" i="8"/>
  <c r="Q31" i="8"/>
  <c r="Q30" i="8"/>
  <c r="Q29" i="8"/>
  <c r="Q28" i="8"/>
  <c r="Q27" i="8"/>
  <c r="Q26" i="8"/>
  <c r="Q25" i="8"/>
  <c r="C19" i="8"/>
  <c r="L17" i="8"/>
  <c r="K17" i="8"/>
  <c r="L16" i="8"/>
  <c r="X15" i="8"/>
  <c r="W15" i="8"/>
  <c r="L15" i="8"/>
  <c r="X14" i="8"/>
  <c r="L14" i="8"/>
  <c r="X13" i="8"/>
  <c r="P13" i="8"/>
  <c r="O13" i="8"/>
  <c r="L13" i="8"/>
  <c r="H13" i="8"/>
  <c r="G13" i="8"/>
  <c r="X12" i="8"/>
  <c r="T12" i="8"/>
  <c r="S12" i="8"/>
  <c r="P12" i="8"/>
  <c r="L12" i="8"/>
  <c r="H12" i="8"/>
  <c r="X11" i="8"/>
  <c r="T11" i="8"/>
  <c r="P11" i="8"/>
  <c r="L11" i="8"/>
  <c r="H11" i="8"/>
  <c r="D11" i="8"/>
  <c r="C11" i="8"/>
  <c r="X10" i="8"/>
  <c r="T10" i="8"/>
  <c r="P10" i="8"/>
  <c r="L10" i="8"/>
  <c r="H10" i="8"/>
  <c r="D10" i="8"/>
  <c r="X9" i="8"/>
  <c r="T9" i="8"/>
  <c r="P9" i="8"/>
  <c r="L9" i="8"/>
  <c r="H9" i="8"/>
  <c r="D9" i="8"/>
  <c r="X8" i="8"/>
  <c r="T8" i="8"/>
  <c r="P8" i="8"/>
  <c r="L8" i="8"/>
  <c r="H8" i="8"/>
  <c r="D8" i="8"/>
  <c r="X7" i="8"/>
  <c r="T7" i="8"/>
  <c r="P7" i="8"/>
  <c r="L7" i="8"/>
  <c r="H7" i="8"/>
  <c r="D7" i="8"/>
  <c r="X6" i="8"/>
  <c r="T6" i="8"/>
  <c r="P6" i="8"/>
  <c r="L6" i="8"/>
  <c r="H6" i="8"/>
  <c r="D6" i="8"/>
  <c r="X5" i="8"/>
  <c r="T5" i="8"/>
  <c r="P5" i="8"/>
  <c r="L5" i="8"/>
  <c r="H5" i="8"/>
  <c r="D5" i="8"/>
  <c r="C53" i="15"/>
  <c r="E52" i="15"/>
  <c r="D52" i="15"/>
  <c r="C52" i="15"/>
  <c r="E51" i="15"/>
  <c r="D51" i="15"/>
  <c r="C51" i="15"/>
  <c r="E50" i="15"/>
  <c r="D50" i="15"/>
  <c r="C50" i="15"/>
  <c r="E49" i="15"/>
  <c r="D49" i="15"/>
  <c r="C49" i="15"/>
  <c r="E48" i="15"/>
  <c r="D48" i="15"/>
  <c r="C48" i="15"/>
  <c r="E47" i="15"/>
  <c r="D47" i="15"/>
  <c r="C47" i="15"/>
  <c r="E46" i="15"/>
  <c r="D46" i="15"/>
  <c r="C46" i="15"/>
  <c r="E45" i="15"/>
  <c r="D45" i="15"/>
  <c r="C45" i="15"/>
  <c r="E44" i="15"/>
  <c r="D44" i="15"/>
  <c r="C44" i="15"/>
  <c r="H43" i="15"/>
  <c r="G43" i="15"/>
  <c r="F43" i="15"/>
  <c r="E43" i="15"/>
  <c r="D43" i="15"/>
  <c r="C38" i="15"/>
  <c r="K30" i="15"/>
  <c r="H30" i="15"/>
  <c r="H30" i="15" a="1"/>
  <c r="F30" i="15"/>
  <c r="D30" i="15"/>
  <c r="D30" i="15" a="1"/>
  <c r="B30" i="15"/>
  <c r="K28" i="15"/>
  <c r="H28" i="15"/>
  <c r="H28" i="15" a="1"/>
  <c r="F28" i="15"/>
  <c r="D28" i="15"/>
  <c r="D28" i="15" a="1"/>
  <c r="B28" i="15"/>
  <c r="K26" i="15"/>
  <c r="H26" i="15"/>
  <c r="H26" i="15" a="1"/>
  <c r="F26" i="15"/>
  <c r="D26" i="15"/>
  <c r="D26" i="15" a="1"/>
  <c r="B26" i="15"/>
  <c r="C20" i="15"/>
  <c r="C18" i="15"/>
  <c r="J17" i="15"/>
  <c r="F15" i="15"/>
  <c r="E15" i="15"/>
  <c r="D15" i="15"/>
  <c r="C15" i="15"/>
  <c r="F14" i="15"/>
  <c r="E14" i="15"/>
  <c r="D14" i="15"/>
  <c r="F13" i="15"/>
  <c r="E13" i="15"/>
  <c r="D13" i="15"/>
  <c r="F12" i="15"/>
  <c r="E12" i="15"/>
  <c r="D12" i="15"/>
  <c r="F11" i="15"/>
  <c r="E11" i="15"/>
  <c r="D11" i="15"/>
  <c r="F10" i="15"/>
  <c r="E10" i="15"/>
  <c r="D10" i="15"/>
  <c r="F9" i="15"/>
  <c r="E9" i="15"/>
  <c r="D9" i="15"/>
  <c r="F8" i="15"/>
  <c r="E8" i="15"/>
  <c r="D8" i="15"/>
  <c r="F7" i="15"/>
  <c r="E7" i="15"/>
  <c r="D7" i="15"/>
  <c r="F6" i="15"/>
  <c r="E6" i="15"/>
  <c r="D6" i="15"/>
  <c r="F5" i="15"/>
  <c r="E5" i="15"/>
  <c r="D5" i="15"/>
  <c r="P4" i="15"/>
  <c r="O4" i="15"/>
  <c r="N4" i="15"/>
  <c r="M4" i="15"/>
  <c r="L4" i="15"/>
  <c r="K4" i="15"/>
  <c r="C53" i="17"/>
  <c r="C52" i="17"/>
  <c r="C51" i="17"/>
  <c r="C50" i="17"/>
  <c r="C49" i="17"/>
  <c r="C48" i="17"/>
  <c r="C47" i="17"/>
  <c r="C46" i="17"/>
  <c r="C45" i="17"/>
  <c r="E44" i="17"/>
  <c r="F44" i="17" s="1"/>
  <c r="M4" i="17" s="1"/>
  <c r="C39" i="17"/>
  <c r="C15" i="17"/>
  <c r="E14" i="17" s="1"/>
  <c r="D5" i="17"/>
  <c r="I5" i="17" s="1"/>
  <c r="H74" i="16"/>
  <c r="G74" i="16"/>
  <c r="I73" i="16"/>
  <c r="H73" i="16"/>
  <c r="X72" i="16"/>
  <c r="W72" i="16"/>
  <c r="Q72" i="16"/>
  <c r="P72" i="16"/>
  <c r="I72" i="16"/>
  <c r="H72" i="16"/>
  <c r="Y71" i="16"/>
  <c r="X71" i="16"/>
  <c r="R71" i="16"/>
  <c r="Q71" i="16"/>
  <c r="I71" i="16"/>
  <c r="H71" i="16"/>
  <c r="Y70" i="16"/>
  <c r="X70" i="16"/>
  <c r="R70" i="16"/>
  <c r="Q70" i="16"/>
  <c r="I70" i="16"/>
  <c r="H70" i="16"/>
  <c r="Y69" i="16"/>
  <c r="X69" i="16"/>
  <c r="R69" i="16"/>
  <c r="Q69" i="16"/>
  <c r="I69" i="16"/>
  <c r="H69" i="16"/>
  <c r="Y68" i="16"/>
  <c r="X68" i="16"/>
  <c r="R68" i="16"/>
  <c r="Q68" i="16"/>
  <c r="I68" i="16"/>
  <c r="H68" i="16"/>
  <c r="Y67" i="16"/>
  <c r="X67" i="16"/>
  <c r="R67" i="16"/>
  <c r="Q67" i="16"/>
  <c r="I67" i="16"/>
  <c r="H67" i="16"/>
  <c r="Y66" i="16"/>
  <c r="X66" i="16"/>
  <c r="R66" i="16"/>
  <c r="Q66" i="16"/>
  <c r="I66" i="16"/>
  <c r="H66" i="16"/>
  <c r="D66" i="16"/>
  <c r="C66" i="16"/>
  <c r="B66" i="16"/>
  <c r="H58" i="16"/>
  <c r="G58" i="16"/>
  <c r="X57" i="16"/>
  <c r="W57" i="16"/>
  <c r="Q57" i="16"/>
  <c r="P57" i="16"/>
  <c r="I57" i="16"/>
  <c r="H57" i="16"/>
  <c r="Y56" i="16"/>
  <c r="X56" i="16"/>
  <c r="R56" i="16"/>
  <c r="Q56" i="16"/>
  <c r="I56" i="16"/>
  <c r="H56" i="16"/>
  <c r="Y55" i="16"/>
  <c r="X55" i="16"/>
  <c r="R55" i="16"/>
  <c r="Q55" i="16"/>
  <c r="I55" i="16"/>
  <c r="H55" i="16"/>
  <c r="Y54" i="16"/>
  <c r="X54" i="16"/>
  <c r="R54" i="16"/>
  <c r="Q54" i="16"/>
  <c r="I54" i="16"/>
  <c r="H54" i="16"/>
  <c r="Y53" i="16"/>
  <c r="X53" i="16"/>
  <c r="R53" i="16"/>
  <c r="Q53" i="16"/>
  <c r="I53" i="16"/>
  <c r="H53" i="16"/>
  <c r="Y52" i="16"/>
  <c r="X52" i="16"/>
  <c r="R52" i="16"/>
  <c r="Q52" i="16"/>
  <c r="I52" i="16"/>
  <c r="H52" i="16"/>
  <c r="Y51" i="16"/>
  <c r="X51" i="16"/>
  <c r="R51" i="16"/>
  <c r="Q51" i="16"/>
  <c r="I51" i="16"/>
  <c r="H51" i="16"/>
  <c r="D50" i="16"/>
  <c r="C50" i="16"/>
  <c r="B50" i="16"/>
  <c r="H43" i="16"/>
  <c r="G43" i="16"/>
  <c r="I42" i="16"/>
  <c r="H42" i="16"/>
  <c r="Q41" i="16"/>
  <c r="P41" i="16"/>
  <c r="I41" i="16"/>
  <c r="H41" i="16"/>
  <c r="R40" i="16"/>
  <c r="Q40" i="16"/>
  <c r="I40" i="16"/>
  <c r="H40" i="16"/>
  <c r="R39" i="16"/>
  <c r="Q39" i="16"/>
  <c r="I39" i="16"/>
  <c r="H39" i="16"/>
  <c r="R38" i="16"/>
  <c r="Q38" i="16"/>
  <c r="I38" i="16"/>
  <c r="H38" i="16"/>
  <c r="R37" i="16"/>
  <c r="Q37" i="16"/>
  <c r="I37" i="16"/>
  <c r="H37" i="16"/>
  <c r="R36" i="16"/>
  <c r="Q36" i="16"/>
  <c r="I36" i="16"/>
  <c r="H36" i="16"/>
  <c r="V35" i="16"/>
  <c r="U35" i="16"/>
  <c r="T35" i="16"/>
  <c r="S35" i="16"/>
  <c r="R35" i="16"/>
  <c r="Q35" i="16"/>
  <c r="M35" i="16"/>
  <c r="L35" i="16"/>
  <c r="K35" i="16"/>
  <c r="J35" i="16"/>
  <c r="I35" i="16"/>
  <c r="H35" i="16"/>
  <c r="X30" i="16"/>
  <c r="W30" i="16"/>
  <c r="Q30" i="16"/>
  <c r="P30" i="16"/>
  <c r="Y29" i="16"/>
  <c r="X29" i="16"/>
  <c r="R29" i="16"/>
  <c r="Q29" i="16"/>
  <c r="H29" i="16"/>
  <c r="G29" i="16"/>
  <c r="Y28" i="16"/>
  <c r="X28" i="16"/>
  <c r="R28" i="16"/>
  <c r="Q28" i="16"/>
  <c r="I28" i="16"/>
  <c r="H28" i="16"/>
  <c r="Y27" i="16"/>
  <c r="X27" i="16"/>
  <c r="R27" i="16"/>
  <c r="Q27" i="16"/>
  <c r="I27" i="16"/>
  <c r="H27" i="16"/>
  <c r="Y26" i="16"/>
  <c r="X26" i="16"/>
  <c r="R26" i="16"/>
  <c r="Q26" i="16"/>
  <c r="I26" i="16"/>
  <c r="H26" i="16"/>
  <c r="Y25" i="16"/>
  <c r="X25" i="16"/>
  <c r="R25" i="16"/>
  <c r="Q25" i="16"/>
  <c r="I25" i="16"/>
  <c r="H25" i="16"/>
  <c r="Y24" i="16"/>
  <c r="X24" i="16"/>
  <c r="R24" i="16"/>
  <c r="Q24" i="16"/>
  <c r="I24" i="16"/>
  <c r="H24" i="16"/>
  <c r="Y23" i="16"/>
  <c r="X23" i="16"/>
  <c r="R23" i="16"/>
  <c r="Q23" i="16"/>
  <c r="I23" i="16"/>
  <c r="H23" i="16"/>
  <c r="Y22" i="16"/>
  <c r="X22" i="16"/>
  <c r="R22" i="16"/>
  <c r="Q22" i="16"/>
  <c r="I22" i="16"/>
  <c r="H22" i="16"/>
  <c r="D22" i="16"/>
  <c r="C22" i="16"/>
  <c r="B22" i="16"/>
  <c r="AE21" i="16"/>
  <c r="H15" i="16"/>
  <c r="G15" i="16"/>
  <c r="I14" i="16"/>
  <c r="H14" i="16"/>
  <c r="X13" i="16"/>
  <c r="W13" i="16"/>
  <c r="Q13" i="16"/>
  <c r="P13" i="16"/>
  <c r="I13" i="16"/>
  <c r="H13" i="16"/>
  <c r="I12" i="16"/>
  <c r="H12" i="16"/>
  <c r="Y11" i="16"/>
  <c r="X11" i="16"/>
  <c r="R11" i="16"/>
  <c r="Q11" i="16"/>
  <c r="I11" i="16"/>
  <c r="H11" i="16"/>
  <c r="Y10" i="16"/>
  <c r="X10" i="16"/>
  <c r="R10" i="16"/>
  <c r="Q10" i="16"/>
  <c r="I10" i="16"/>
  <c r="H10" i="16"/>
  <c r="Y9" i="16"/>
  <c r="X9" i="16"/>
  <c r="R9" i="16"/>
  <c r="Q9" i="16"/>
  <c r="I9" i="16"/>
  <c r="H9" i="16"/>
  <c r="Y8" i="16"/>
  <c r="X8" i="16"/>
  <c r="R8" i="16"/>
  <c r="Q8" i="16"/>
  <c r="I8" i="16"/>
  <c r="H8" i="16"/>
  <c r="AK7" i="16"/>
  <c r="AJ7" i="16"/>
  <c r="AG7" i="16"/>
  <c r="AE7" i="16"/>
  <c r="Y7" i="16"/>
  <c r="X7" i="16"/>
  <c r="R7" i="16"/>
  <c r="Q7" i="16"/>
  <c r="I7" i="16"/>
  <c r="H7" i="16"/>
  <c r="Y6" i="16"/>
  <c r="X6" i="16"/>
  <c r="R6" i="16"/>
  <c r="Q6" i="16"/>
  <c r="I6" i="16"/>
  <c r="H6" i="16"/>
  <c r="G14" i="13"/>
  <c r="G13" i="13"/>
  <c r="G12" i="13"/>
  <c r="G11" i="13"/>
  <c r="G10" i="13"/>
  <c r="G9" i="13"/>
  <c r="G8" i="13"/>
  <c r="G7" i="13"/>
  <c r="L20" i="3"/>
  <c r="L19" i="3"/>
  <c r="L18" i="3"/>
  <c r="L17" i="3"/>
  <c r="I17" i="3"/>
  <c r="I15" i="3"/>
  <c r="I13" i="3"/>
  <c r="I12" i="3"/>
  <c r="I11" i="3"/>
  <c r="I9" i="3"/>
  <c r="I8" i="3"/>
  <c r="I7" i="3"/>
  <c r="I6" i="3"/>
  <c r="E6" i="3"/>
  <c r="G20" i="2"/>
  <c r="F20" i="2"/>
  <c r="G19" i="2"/>
  <c r="F19" i="2"/>
  <c r="G18" i="2"/>
  <c r="F18" i="2"/>
  <c r="G17" i="2"/>
  <c r="F17" i="2"/>
  <c r="G16" i="2"/>
  <c r="F16" i="2"/>
  <c r="G15" i="2"/>
  <c r="F15" i="2"/>
  <c r="G14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F7" i="2"/>
  <c r="G7" i="2" s="1"/>
  <c r="F6" i="2"/>
  <c r="G6" i="2" s="1"/>
  <c r="E20" i="18" s="1"/>
  <c r="H20" i="6"/>
  <c r="G20" i="6"/>
  <c r="H19" i="6"/>
  <c r="G19" i="6"/>
  <c r="H18" i="6"/>
  <c r="G18" i="6"/>
  <c r="H17" i="6"/>
  <c r="G17" i="6"/>
  <c r="H16" i="6"/>
  <c r="G16" i="6"/>
  <c r="H15" i="6"/>
  <c r="G15" i="6"/>
  <c r="H14" i="6"/>
  <c r="G14" i="6"/>
  <c r="H13" i="6"/>
  <c r="G13" i="6"/>
  <c r="H12" i="6"/>
  <c r="G12" i="6"/>
  <c r="H11" i="6"/>
  <c r="G11" i="6"/>
  <c r="H10" i="6"/>
  <c r="G10" i="6"/>
  <c r="H9" i="6"/>
  <c r="G9" i="6"/>
  <c r="H8" i="6"/>
  <c r="G8" i="6"/>
  <c r="H7" i="6"/>
  <c r="G7" i="6"/>
  <c r="G6" i="6"/>
  <c r="H6" i="6" s="1"/>
  <c r="E18" i="18" s="1"/>
  <c r="G16" i="4"/>
  <c r="F12" i="4"/>
  <c r="G12" i="4" s="1"/>
  <c r="E8" i="4"/>
  <c r="F8" i="4" s="1"/>
  <c r="F4" i="4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E19" i="18" s="1"/>
  <c r="AC30" i="7"/>
  <c r="AC29" i="7"/>
  <c r="AC28" i="7"/>
  <c r="AC27" i="7"/>
  <c r="AC26" i="7"/>
  <c r="AC25" i="7"/>
  <c r="R20" i="7"/>
  <c r="H20" i="7"/>
  <c r="R19" i="7"/>
  <c r="H19" i="7"/>
  <c r="R18" i="7"/>
  <c r="H18" i="7"/>
  <c r="R17" i="7"/>
  <c r="H17" i="7"/>
  <c r="R16" i="7"/>
  <c r="H16" i="7"/>
  <c r="R15" i="7"/>
  <c r="H15" i="7"/>
  <c r="R14" i="7"/>
  <c r="H14" i="7"/>
  <c r="R13" i="7"/>
  <c r="H13" i="7"/>
  <c r="AC12" i="7"/>
  <c r="R12" i="7"/>
  <c r="H12" i="7"/>
  <c r="AC11" i="7"/>
  <c r="R11" i="7"/>
  <c r="H11" i="7"/>
  <c r="AC10" i="7"/>
  <c r="U10" i="7"/>
  <c r="R10" i="7"/>
  <c r="K10" i="7"/>
  <c r="H10" i="7"/>
  <c r="AC9" i="7"/>
  <c r="U9" i="7"/>
  <c r="R9" i="7"/>
  <c r="H9" i="7"/>
  <c r="AC8" i="7"/>
  <c r="U8" i="7"/>
  <c r="R8" i="7"/>
  <c r="H8" i="7"/>
  <c r="AC7" i="7"/>
  <c r="R7" i="7"/>
  <c r="H7" i="7"/>
  <c r="AC6" i="7"/>
  <c r="M6" i="3" l="1"/>
  <c r="AN3" i="17"/>
  <c r="D6" i="17"/>
  <c r="AN4" i="17" s="1"/>
  <c r="P3" i="18" a="1"/>
  <c r="P3" i="18" s="1"/>
  <c r="E53" i="17"/>
  <c r="E6" i="17"/>
  <c r="P4" i="17"/>
  <c r="E12" i="17"/>
  <c r="E9" i="17"/>
  <c r="C18" i="17"/>
  <c r="C20" i="17" s="1"/>
  <c r="Q4" i="17" s="1"/>
  <c r="E52" i="17"/>
  <c r="E7" i="17"/>
  <c r="E11" i="17"/>
  <c r="E8" i="17"/>
  <c r="E13" i="17"/>
  <c r="E48" i="17"/>
  <c r="C54" i="17"/>
  <c r="D48" i="17" s="1"/>
  <c r="E5" i="17"/>
  <c r="E10" i="17"/>
  <c r="E46" i="17"/>
  <c r="E50" i="17"/>
  <c r="E47" i="17"/>
  <c r="E51" i="17"/>
  <c r="H44" i="17" s="1"/>
  <c r="O4" i="17" s="1"/>
  <c r="E45" i="17"/>
  <c r="E49" i="17"/>
  <c r="G44" i="17" s="1"/>
  <c r="N4" i="17" s="1"/>
  <c r="M3" i="18" a="1"/>
  <c r="M3" i="18" s="1"/>
  <c r="H6" i="7"/>
  <c r="E16" i="18" s="1"/>
  <c r="K11" i="7"/>
  <c r="J3" i="18" s="1" a="1"/>
  <c r="J3" i="18" s="1"/>
  <c r="R7" i="19"/>
  <c r="O24" i="19"/>
  <c r="M16" i="18" a="1"/>
  <c r="M16" i="18" s="1"/>
  <c r="L20" i="4"/>
  <c r="P12" i="3" l="1"/>
  <c r="E21" i="18"/>
  <c r="I7" i="17"/>
  <c r="D7" i="17"/>
  <c r="D8" i="17" s="1"/>
  <c r="AN6" i="17" s="1"/>
  <c r="E15" i="17"/>
  <c r="D52" i="17"/>
  <c r="D51" i="17"/>
  <c r="D44" i="17"/>
  <c r="D47" i="17"/>
  <c r="D53" i="17"/>
  <c r="D45" i="17"/>
  <c r="D46" i="17"/>
  <c r="D50" i="17"/>
  <c r="D49" i="17"/>
  <c r="D9" i="17" l="1"/>
  <c r="AN7" i="17" s="1"/>
  <c r="AN5" i="17"/>
  <c r="D10" i="17" l="1"/>
  <c r="AN8" i="17" s="1"/>
  <c r="I9" i="17" l="1"/>
  <c r="D11" i="17"/>
  <c r="AN9" i="17" s="1"/>
  <c r="D12" i="17" l="1"/>
  <c r="AN10" i="17" s="1"/>
  <c r="I11" i="17" l="1"/>
  <c r="D13" i="17"/>
  <c r="AN11" i="17" s="1"/>
  <c r="F6" i="17" l="1"/>
  <c r="F10" i="17"/>
  <c r="F9" i="17"/>
  <c r="F12" i="17"/>
  <c r="F13" i="17"/>
  <c r="F11" i="17"/>
  <c r="F8" i="17"/>
  <c r="D14" i="17"/>
  <c r="AN12" i="17" s="1"/>
  <c r="F5" i="17"/>
  <c r="F7" i="17"/>
  <c r="I10" i="17" l="1"/>
  <c r="D31" i="17" a="1"/>
  <c r="D31" i="17" s="1"/>
  <c r="B31" i="17" s="1"/>
  <c r="F14" i="17"/>
  <c r="I6" i="17"/>
  <c r="H31" i="17" a="1"/>
  <c r="H31" i="17" s="1"/>
  <c r="F31" i="17" s="1"/>
  <c r="D15" i="17"/>
  <c r="D29" i="17" a="1"/>
  <c r="D29" i="17" s="1"/>
  <c r="B29" i="17" s="1"/>
  <c r="H27" i="17" a="1"/>
  <c r="H27" i="17" s="1"/>
  <c r="F27" i="17" s="1"/>
  <c r="I12" i="17"/>
  <c r="I8" i="17"/>
  <c r="D27" i="17" a="1"/>
  <c r="D27" i="17" s="1"/>
  <c r="B27" i="17" s="1"/>
  <c r="H29" i="17" a="1"/>
  <c r="H29" i="17" s="1"/>
  <c r="F29" i="17" s="1"/>
  <c r="G16" i="18" a="1"/>
  <c r="G16" i="18" s="1"/>
  <c r="M29" i="17" l="1"/>
  <c r="M27" i="17"/>
  <c r="M31" i="17"/>
  <c r="AN13" i="17"/>
  <c r="J16" i="18" s="1" a="1"/>
  <c r="J16" i="18" s="1"/>
  <c r="F15" i="17"/>
  <c r="L4" i="17" l="1"/>
  <c r="P16" i="18" a="1"/>
  <c r="P16" i="18" s="1"/>
  <c r="G3" i="18" a="1"/>
  <c r="G3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Keila Marques | Compass Minerals</author>
  </authors>
  <commentList>
    <comment ref="B27" authorId="0" shapeId="0" xr:uid="{B23603B7-3F00-4FFD-93E1-5D4EF459D9C8}">
      <text>
        <r>
          <rPr>
            <b/>
            <sz val="9"/>
            <color indexed="81"/>
            <rFont val="Segoe UI"/>
            <family val="2"/>
          </rPr>
          <t>Keila Marques | Compass Minerals:</t>
        </r>
        <r>
          <rPr>
            <sz val="9"/>
            <color indexed="81"/>
            <rFont val="Segoe UI"/>
            <family val="2"/>
          </rPr>
          <t xml:space="preserve">
1° Maior ou igual a 84</t>
        </r>
      </text>
    </comment>
    <comment ref="F27" authorId="0" shapeId="0" xr:uid="{C888D84A-A912-4064-AD55-AA9782A95CB0}">
      <text>
        <r>
          <rPr>
            <b/>
            <sz val="9"/>
            <color indexed="81"/>
            <rFont val="Segoe UI"/>
            <family val="2"/>
          </rPr>
          <t>Keila Marques | Compass Minerals:</t>
        </r>
        <r>
          <rPr>
            <sz val="9"/>
            <color indexed="81"/>
            <rFont val="Segoe UI"/>
            <family val="2"/>
          </rPr>
          <t xml:space="preserve">
1° menor ou igual a 84</t>
        </r>
      </text>
    </comment>
    <comment ref="B29" authorId="0" shapeId="0" xr:uid="{DEF24061-6D01-43E4-AA6E-6006ED831FCB}">
      <text>
        <r>
          <rPr>
            <b/>
            <sz val="9"/>
            <color indexed="81"/>
            <rFont val="Segoe UI"/>
            <family val="2"/>
          </rPr>
          <t>Keila Marques | Compass Minerals:</t>
        </r>
        <r>
          <rPr>
            <sz val="9"/>
            <color indexed="81"/>
            <rFont val="Segoe UI"/>
            <family val="2"/>
          </rPr>
          <t xml:space="preserve">
1° Maior ou igual a 50</t>
        </r>
      </text>
    </comment>
    <comment ref="F29" authorId="0" shapeId="0" xr:uid="{714433FB-0F45-4138-B86F-94CBCCA9FF28}">
      <text>
        <r>
          <rPr>
            <b/>
            <sz val="9"/>
            <color indexed="81"/>
            <rFont val="Segoe UI"/>
            <family val="2"/>
          </rPr>
          <t>Keila Marques | Compass Minerals:</t>
        </r>
        <r>
          <rPr>
            <sz val="9"/>
            <color indexed="81"/>
            <rFont val="Segoe UI"/>
            <family val="2"/>
          </rPr>
          <t xml:space="preserve">
1° menor ou igual a 50
</t>
        </r>
      </text>
    </comment>
    <comment ref="B31" authorId="0" shapeId="0" xr:uid="{FD60CDD5-3723-4B8D-8311-76B382F8E679}">
      <text>
        <r>
          <rPr>
            <b/>
            <sz val="9"/>
            <color indexed="81"/>
            <rFont val="Segoe UI"/>
            <family val="2"/>
          </rPr>
          <t>Keila Marques | Compass Minerals:</t>
        </r>
        <r>
          <rPr>
            <sz val="9"/>
            <color indexed="81"/>
            <rFont val="Segoe UI"/>
            <family val="2"/>
          </rPr>
          <t xml:space="preserve">
1° Maior ou igual a 16
</t>
        </r>
      </text>
    </comment>
    <comment ref="F31" authorId="0" shapeId="0" xr:uid="{2F384095-5548-46E1-B13C-A7C06DC021E3}">
      <text>
        <r>
          <rPr>
            <b/>
            <sz val="9"/>
            <color indexed="81"/>
            <rFont val="Segoe UI"/>
            <family val="2"/>
          </rPr>
          <t>Keila Marques | Compass Minerals:</t>
        </r>
        <r>
          <rPr>
            <sz val="9"/>
            <color indexed="81"/>
            <rFont val="Segoe UI"/>
            <family val="2"/>
          </rPr>
          <t xml:space="preserve">
1° menor ou igual a 16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Keila Marques | Compass Minerals</author>
  </authors>
  <commentList>
    <comment ref="B26" authorId="0" shapeId="0" xr:uid="{A2C600B5-8502-4235-BCB1-F8A8A07622A9}">
      <text>
        <r>
          <rPr>
            <b/>
            <sz val="9"/>
            <color indexed="81"/>
            <rFont val="Segoe UI"/>
            <family val="2"/>
          </rPr>
          <t>Keila Marques | Compass Minerals:</t>
        </r>
        <r>
          <rPr>
            <sz val="9"/>
            <color indexed="81"/>
            <rFont val="Segoe UI"/>
            <family val="2"/>
          </rPr>
          <t xml:space="preserve">
1° Maior ou igual a 84</t>
        </r>
      </text>
    </comment>
    <comment ref="F26" authorId="0" shapeId="0" xr:uid="{179A5F3D-A47D-4125-869C-5B6633541E82}">
      <text>
        <r>
          <rPr>
            <b/>
            <sz val="9"/>
            <color indexed="81"/>
            <rFont val="Segoe UI"/>
            <family val="2"/>
          </rPr>
          <t>Keila Marques | Compass Minerals:</t>
        </r>
        <r>
          <rPr>
            <sz val="9"/>
            <color indexed="81"/>
            <rFont val="Segoe UI"/>
            <family val="2"/>
          </rPr>
          <t xml:space="preserve">
1° menor ou igual a 84</t>
        </r>
      </text>
    </comment>
    <comment ref="B28" authorId="0" shapeId="0" xr:uid="{BD0FB1D7-138E-408E-8A86-B1ED5044B684}">
      <text>
        <r>
          <rPr>
            <b/>
            <sz val="9"/>
            <color indexed="81"/>
            <rFont val="Segoe UI"/>
            <family val="2"/>
          </rPr>
          <t>Keila Marques | Compass Minerals:</t>
        </r>
        <r>
          <rPr>
            <sz val="9"/>
            <color indexed="81"/>
            <rFont val="Segoe UI"/>
            <family val="2"/>
          </rPr>
          <t xml:space="preserve">
1° Maior ou igual a 50</t>
        </r>
      </text>
    </comment>
    <comment ref="F28" authorId="0" shapeId="0" xr:uid="{92B40647-3270-4B11-8E2F-C6F79831965C}">
      <text>
        <r>
          <rPr>
            <b/>
            <sz val="9"/>
            <color indexed="81"/>
            <rFont val="Segoe UI"/>
            <family val="2"/>
          </rPr>
          <t>Keila Marques | Compass Minerals:</t>
        </r>
        <r>
          <rPr>
            <sz val="9"/>
            <color indexed="81"/>
            <rFont val="Segoe UI"/>
            <family val="2"/>
          </rPr>
          <t xml:space="preserve">
1° menor ou igual a 50
</t>
        </r>
      </text>
    </comment>
    <comment ref="B30" authorId="0" shapeId="0" xr:uid="{1E9813AF-4B77-47FD-94B9-F81E105262FC}">
      <text>
        <r>
          <rPr>
            <b/>
            <sz val="9"/>
            <color indexed="81"/>
            <rFont val="Segoe UI"/>
            <family val="2"/>
          </rPr>
          <t>Keila Marques | Compass Minerals:</t>
        </r>
        <r>
          <rPr>
            <sz val="9"/>
            <color indexed="81"/>
            <rFont val="Segoe UI"/>
            <family val="2"/>
          </rPr>
          <t xml:space="preserve">
1° Maior ou igual a 16
</t>
        </r>
      </text>
    </comment>
    <comment ref="F30" authorId="0" shapeId="0" xr:uid="{3C7C486F-6D15-4CD4-AC72-159BD9B53162}">
      <text>
        <r>
          <rPr>
            <b/>
            <sz val="9"/>
            <color indexed="81"/>
            <rFont val="Segoe UI"/>
            <family val="2"/>
          </rPr>
          <t>Keila Marques | Compass Minerals:</t>
        </r>
        <r>
          <rPr>
            <sz val="9"/>
            <color indexed="81"/>
            <rFont val="Segoe UI"/>
            <family val="2"/>
          </rPr>
          <t xml:space="preserve">
1° menor ou igual a 16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<sst xmlns="http://schemas.openxmlformats.org/spreadsheetml/2006/main" count="978" uniqueCount="337">
  <si>
    <t>NITROGÊNIO</t>
  </si>
  <si>
    <t>Nº</t>
  </si>
  <si>
    <t>Peso</t>
  </si>
  <si>
    <t>Vg</t>
  </si>
  <si>
    <t>Normalidadde</t>
  </si>
  <si>
    <t>Fator</t>
  </si>
  <si>
    <t>%N</t>
  </si>
  <si>
    <t>FOSFORO</t>
  </si>
  <si>
    <t>Massa</t>
  </si>
  <si>
    <t>Aliquota</t>
  </si>
  <si>
    <t>Cad cheio</t>
  </si>
  <si>
    <t>Cad vazio</t>
  </si>
  <si>
    <t>Diferença</t>
  </si>
  <si>
    <t>%P</t>
  </si>
  <si>
    <t>Potassio</t>
  </si>
  <si>
    <t>V1</t>
  </si>
  <si>
    <t>V2</t>
  </si>
  <si>
    <t>Leitura</t>
  </si>
  <si>
    <t>%K</t>
  </si>
  <si>
    <t>aliquota</t>
  </si>
  <si>
    <t>cad vazio</t>
  </si>
  <si>
    <t>ENXOFRE</t>
  </si>
  <si>
    <t>%S</t>
  </si>
  <si>
    <t>BORO</t>
  </si>
  <si>
    <t>N°</t>
  </si>
  <si>
    <t>BORO ALTO</t>
  </si>
  <si>
    <t>MASSA</t>
  </si>
  <si>
    <t>ALICOTA</t>
  </si>
  <si>
    <t>V.G</t>
  </si>
  <si>
    <t>NORMALIDADE</t>
  </si>
  <si>
    <t>% BORO</t>
  </si>
  <si>
    <t>POLYBLEN/PHUSION</t>
  </si>
  <si>
    <t>PHOS/MAP</t>
  </si>
  <si>
    <t>UREIA M.P</t>
  </si>
  <si>
    <t>UREIA FINA</t>
  </si>
  <si>
    <t>MAP/KCL FINO</t>
  </si>
  <si>
    <t>Granulometria</t>
  </si>
  <si>
    <t>Malha</t>
  </si>
  <si>
    <t>%</t>
  </si>
  <si>
    <t>#4,80</t>
  </si>
  <si>
    <t>#4,00</t>
  </si>
  <si>
    <t>#4,50</t>
  </si>
  <si>
    <t>#4,27</t>
  </si>
  <si>
    <t>#2,00</t>
  </si>
  <si>
    <t>#4,20</t>
  </si>
  <si>
    <t>#2,80</t>
  </si>
  <si>
    <t>#1,00</t>
  </si>
  <si>
    <t>#3,36</t>
  </si>
  <si>
    <t>#0,50</t>
  </si>
  <si>
    <t>FUNDO</t>
  </si>
  <si>
    <t>#0,84</t>
  </si>
  <si>
    <t>TOTAL</t>
  </si>
  <si>
    <t>#1,41</t>
  </si>
  <si>
    <t>DENSIDADE</t>
  </si>
  <si>
    <t>VOLUME</t>
  </si>
  <si>
    <t>RESULTADO</t>
  </si>
  <si>
    <t>UMIDADE</t>
  </si>
  <si>
    <t>Placa</t>
  </si>
  <si>
    <t>Placa + amostra</t>
  </si>
  <si>
    <t>Amostra seca</t>
  </si>
  <si>
    <t>Umidade</t>
  </si>
  <si>
    <t>ESFERICIDADE</t>
  </si>
  <si>
    <t>ABRASIVIDADE</t>
  </si>
  <si>
    <t>Fração esférica</t>
  </si>
  <si>
    <t>Fração total</t>
  </si>
  <si>
    <t>% Esférica</t>
  </si>
  <si>
    <t>HIDRÓXIDO DE SÓDIO</t>
  </si>
  <si>
    <t>M.P BIFT.</t>
  </si>
  <si>
    <t>FATOR</t>
  </si>
  <si>
    <t>MÉDIA</t>
  </si>
  <si>
    <t>ÁCIDO SULFURICO</t>
  </si>
  <si>
    <t>FATOR SODA</t>
  </si>
  <si>
    <t>AMOSTRA</t>
  </si>
  <si>
    <t>TEOR DE BORO</t>
  </si>
  <si>
    <t>cad cheio</t>
  </si>
  <si>
    <t>AGUA DA CANALETA</t>
  </si>
  <si>
    <t>0,0037%</t>
  </si>
  <si>
    <t>AGUA DA PISCINA</t>
  </si>
  <si>
    <t>0,0057%</t>
  </si>
  <si>
    <t>TORTA DO FILTRO PRENSA</t>
  </si>
  <si>
    <t>13,76%</t>
  </si>
  <si>
    <t xml:space="preserve">                  </t>
  </si>
  <si>
    <t xml:space="preserve">    </t>
  </si>
  <si>
    <t>ANÁLISE DE CINZAS</t>
  </si>
  <si>
    <t>%CINZAS</t>
  </si>
  <si>
    <t>AMOSTRA RETIRADA ANTES DA FILTRAÇÃO</t>
  </si>
  <si>
    <t>AMOSTRA RETIRADA DO FILTRO DE DESCARTE</t>
  </si>
  <si>
    <t>PHUSION LANCER</t>
  </si>
  <si>
    <t>ANÁLISE</t>
  </si>
  <si>
    <t>COMPOSTA 3 e 4</t>
  </si>
  <si>
    <t>MIN</t>
  </si>
  <si>
    <t>GARANTIA</t>
  </si>
  <si>
    <t>MAX</t>
  </si>
  <si>
    <t xml:space="preserve">NITROGÊNIO </t>
  </si>
  <si>
    <t>LOTE</t>
  </si>
  <si>
    <t>VISCOSIDADE</t>
  </si>
  <si>
    <t>COMPOSTA 7 a 10</t>
  </si>
  <si>
    <t>CINZAS</t>
  </si>
  <si>
    <t>pH</t>
  </si>
  <si>
    <t>CAD. CHEIO</t>
  </si>
  <si>
    <t>CA.VAZIO</t>
  </si>
  <si>
    <t>DIFEREN.</t>
  </si>
  <si>
    <t>RT</t>
  </si>
  <si>
    <t>LG</t>
  </si>
  <si>
    <t>ENXOFRE (PPC)</t>
  </si>
  <si>
    <t>Analise Wolftrax</t>
  </si>
  <si>
    <t>AMOSTRAS</t>
  </si>
  <si>
    <t>P</t>
  </si>
  <si>
    <t>B</t>
  </si>
  <si>
    <t>AMOSTRA 10</t>
  </si>
  <si>
    <t>AMOSTRA 11</t>
  </si>
  <si>
    <t>AMOSTRA 12</t>
  </si>
  <si>
    <t>SN MADEIRAS</t>
  </si>
  <si>
    <t>PALLEBRAS</t>
  </si>
  <si>
    <t>Horas</t>
  </si>
  <si>
    <t>AMOSTRA 7.1</t>
  </si>
  <si>
    <t>AMOSTRA 5.1</t>
  </si>
  <si>
    <t>AMOSTRA 5.2</t>
  </si>
  <si>
    <t>24h</t>
  </si>
  <si>
    <t>BASE PHUSION 9 Mg II</t>
  </si>
  <si>
    <t>Resultado</t>
  </si>
  <si>
    <t>Minimo</t>
  </si>
  <si>
    <t>Garantia</t>
  </si>
  <si>
    <t>máximo</t>
  </si>
  <si>
    <t>POLYBLEN RECLAMAÇÃO</t>
  </si>
  <si>
    <t>N</t>
  </si>
  <si>
    <t>S</t>
  </si>
  <si>
    <t>K</t>
  </si>
  <si>
    <t>Nutrientes</t>
  </si>
  <si>
    <t>Resultados</t>
  </si>
  <si>
    <t>277825-C</t>
  </si>
  <si>
    <t>KCl Fino</t>
  </si>
  <si>
    <t>KCl grosso</t>
  </si>
  <si>
    <t># Malha</t>
  </si>
  <si>
    <t>% Retida</t>
  </si>
  <si>
    <t>PHUSION POWER</t>
  </si>
  <si>
    <t>Micro Nutriente</t>
  </si>
  <si>
    <t>ESPECIFICAÇÃO</t>
  </si>
  <si>
    <t>00277825-B</t>
  </si>
  <si>
    <t>APROVADO</t>
  </si>
  <si>
    <t>TESTE 1</t>
  </si>
  <si>
    <t>Boro</t>
  </si>
  <si>
    <t>00277825-C</t>
  </si>
  <si>
    <t>REPROVADO</t>
  </si>
  <si>
    <t>Cobre</t>
  </si>
  <si>
    <t>Manganês</t>
  </si>
  <si>
    <t>Fundo</t>
  </si>
  <si>
    <t>Zinco</t>
  </si>
  <si>
    <t>00277909-A</t>
  </si>
  <si>
    <t>TESTE 2</t>
  </si>
  <si>
    <t>00277909-B</t>
  </si>
  <si>
    <t>00277909-C</t>
  </si>
  <si>
    <t>00278135-B</t>
  </si>
  <si>
    <t>00278135-C</t>
  </si>
  <si>
    <t>00287205-A</t>
  </si>
  <si>
    <t>PRODUCOTE LONGER</t>
  </si>
  <si>
    <t>Phusion Power</t>
  </si>
  <si>
    <t>1° h</t>
  </si>
  <si>
    <t>4° h</t>
  </si>
  <si>
    <t>24° h</t>
  </si>
  <si>
    <t>00278083-C</t>
  </si>
  <si>
    <t>00278083-A</t>
  </si>
  <si>
    <t>PHUSION PLANTE TOP S</t>
  </si>
  <si>
    <t>00288300-A</t>
  </si>
  <si>
    <t>00288300-B</t>
  </si>
  <si>
    <t>LOTE: 00288677-C</t>
  </si>
  <si>
    <t>CORREÇÃO ANDA</t>
  </si>
  <si>
    <t>00288300-C</t>
  </si>
  <si>
    <t>PHUSION POWER  AMOSTRA 1</t>
  </si>
  <si>
    <t>PHUSION POWER  AMOSTRA 2</t>
  </si>
  <si>
    <t>Material</t>
  </si>
  <si>
    <t>Densidade</t>
  </si>
  <si>
    <t>NPS</t>
  </si>
  <si>
    <t>KCL</t>
  </si>
  <si>
    <t>MAP</t>
  </si>
  <si>
    <t>URÉIA</t>
  </si>
  <si>
    <t>00287200-B</t>
  </si>
  <si>
    <t>00287200-C</t>
  </si>
  <si>
    <t>00287205-C</t>
  </si>
  <si>
    <t>Alíquota</t>
  </si>
  <si>
    <t>NITROGÊNIO S/ DILUIÇÃO</t>
  </si>
  <si>
    <t>NITROGÊNIO C/ DILUIÇÃO</t>
  </si>
  <si>
    <t>HIDRÓXIDO DE SÓDIO - BORO ALTO</t>
  </si>
  <si>
    <t>V.G (BRANCO)</t>
  </si>
  <si>
    <t>A1</t>
  </si>
  <si>
    <t>A2</t>
  </si>
  <si>
    <t>B1</t>
  </si>
  <si>
    <t>B2</t>
  </si>
  <si>
    <t>MOLARIDADE</t>
  </si>
  <si>
    <t>DUREZA</t>
  </si>
  <si>
    <t>Resultaado</t>
  </si>
  <si>
    <t>Dureza</t>
  </si>
  <si>
    <t>#5,60</t>
  </si>
  <si>
    <t>#4,19</t>
  </si>
  <si>
    <t>#0,85</t>
  </si>
  <si>
    <t>map teste</t>
  </si>
  <si>
    <t>1D</t>
  </si>
  <si>
    <t>2D</t>
  </si>
  <si>
    <t>3D</t>
  </si>
  <si>
    <t>4D</t>
  </si>
  <si>
    <t>5D</t>
  </si>
  <si>
    <t>1E</t>
  </si>
  <si>
    <t>2E</t>
  </si>
  <si>
    <t>3E</t>
  </si>
  <si>
    <t>4E</t>
  </si>
  <si>
    <t>5E</t>
  </si>
  <si>
    <t xml:space="preserve">Valores obtidos a partir da Análise de peneira </t>
  </si>
  <si>
    <t>MALHA</t>
  </si>
  <si>
    <t>U.S. STD MESH</t>
  </si>
  <si>
    <t>Massa Retida por Malha (g)</t>
  </si>
  <si>
    <t>Massa Retida acumulada (g)</t>
  </si>
  <si>
    <t>%Retida por Malha (g)</t>
  </si>
  <si>
    <t>% Retido acumulado</t>
  </si>
  <si>
    <t>Diâmetro      (mm)</t>
  </si>
  <si>
    <t>GSI</t>
  </si>
  <si>
    <t>RETIDO
#4,80</t>
  </si>
  <si>
    <t>RETIDO
#2,00</t>
  </si>
  <si>
    <t>RETIDO
#1,00</t>
  </si>
  <si>
    <t>MASSA TOTAL</t>
  </si>
  <si>
    <t xml:space="preserve">Valor de GSI </t>
  </si>
  <si>
    <t>Até 20</t>
  </si>
  <si>
    <t xml:space="preserve">Baixa segregação: Indica que o produto tem alta uniformidade de aplicação </t>
  </si>
  <si>
    <t>Maior que 20 até 25</t>
  </si>
  <si>
    <t xml:space="preserve">Média Segregação: Indica que o produto tem média uniformidade de aplicação </t>
  </si>
  <si>
    <t>Maior que 25</t>
  </si>
  <si>
    <t xml:space="preserve">Alta Segregação: Indica que o produto tem baixa uniformidade de aplicação </t>
  </si>
  <si>
    <t xml:space="preserve">FUNDO </t>
  </si>
  <si>
    <t xml:space="preserve">Massa carregada </t>
  </si>
  <si>
    <t>Diametro em mm igual ou maior:</t>
  </si>
  <si>
    <t xml:space="preserve">% Retido acumulado </t>
  </si>
  <si>
    <t>Diametro em mm igual ou menor:</t>
  </si>
  <si>
    <t>P84</t>
  </si>
  <si>
    <t>RP84</t>
  </si>
  <si>
    <t>PM84</t>
  </si>
  <si>
    <t>RPM84</t>
  </si>
  <si>
    <t>D84</t>
  </si>
  <si>
    <t>P50</t>
  </si>
  <si>
    <t>RP50</t>
  </si>
  <si>
    <t>PM50</t>
  </si>
  <si>
    <t>RPM50</t>
  </si>
  <si>
    <t>D50</t>
  </si>
  <si>
    <t>P16</t>
  </si>
  <si>
    <t>RP16</t>
  </si>
  <si>
    <t>PM16</t>
  </si>
  <si>
    <t>RPM16</t>
  </si>
  <si>
    <t>D16</t>
  </si>
  <si>
    <t>Luis Fernando &lt;luisfernandojr.lf@gmail.com&gt;</t>
  </si>
  <si>
    <t>RETIDO POR MALHA</t>
  </si>
  <si>
    <t>PASSANTE 
ACUMULATIVO</t>
  </si>
  <si>
    <t>n</t>
  </si>
  <si>
    <t>p</t>
  </si>
  <si>
    <t>k</t>
  </si>
  <si>
    <t>Ca</t>
  </si>
  <si>
    <t>Massa 
Acumulada
g</t>
  </si>
  <si>
    <t>Retido
%</t>
  </si>
  <si>
    <t>Peso
g</t>
  </si>
  <si>
    <t>Malha
#</t>
  </si>
  <si>
    <t>GROSSO NA PN</t>
  </si>
  <si>
    <t>BOM NO FINO %</t>
  </si>
  <si>
    <t>BOM NO GROSSO %</t>
  </si>
  <si>
    <t>UREIA GR</t>
  </si>
  <si>
    <t>UREIA PN</t>
  </si>
  <si>
    <t>KCL GR</t>
  </si>
  <si>
    <t>KCL PN</t>
  </si>
  <si>
    <t>KCL FINO</t>
  </si>
  <si>
    <t>Max. 0,20%</t>
  </si>
  <si>
    <t>Max. 4,00%</t>
  </si>
  <si>
    <t>Min. 90%</t>
  </si>
  <si>
    <t>Min. 100%</t>
  </si>
  <si>
    <t>Min. 88%</t>
  </si>
  <si>
    <t>Passante #0,50</t>
  </si>
  <si>
    <t>Passante #2,00</t>
  </si>
  <si>
    <t>Passante #4,00</t>
  </si>
  <si>
    <t>Passante #4,80</t>
  </si>
  <si>
    <t>PHOS BLACK</t>
  </si>
  <si>
    <t>GROSSO NA MP
%</t>
  </si>
  <si>
    <t>BOM NO FINO
%</t>
  </si>
  <si>
    <t>BOM NO GROSSO
%</t>
  </si>
  <si>
    <t>MAP BOX</t>
  </si>
  <si>
    <t>MAP GROSSO</t>
  </si>
  <si>
    <t>MAP FINO</t>
  </si>
  <si>
    <t>(%)</t>
  </si>
  <si>
    <t>Massa Total (g)</t>
  </si>
  <si>
    <t>Fração Não Esférica
(g)</t>
  </si>
  <si>
    <t>Fração Esférica
(g)</t>
  </si>
  <si>
    <t>Amostra Seca
(g)</t>
  </si>
  <si>
    <t>Amostra
(g)</t>
  </si>
  <si>
    <t>Placa de Petri
(g)</t>
  </si>
  <si>
    <t xml:space="preserve">ESFERICIDADE </t>
  </si>
  <si>
    <t>UREIA SECADOR</t>
  </si>
  <si>
    <t>UREIA - ACOMPANHAMENTO PROCESSO</t>
  </si>
  <si>
    <t>PENEIRAMENTO</t>
  </si>
  <si>
    <t xml:space="preserve"> </t>
  </si>
  <si>
    <t xml:space="preserve">Placa de Petri(g)+Amostra(g) </t>
  </si>
  <si>
    <t>#4,5</t>
  </si>
  <si>
    <t>#3,35</t>
  </si>
  <si>
    <t>#1,4</t>
  </si>
  <si>
    <t>#1,0</t>
  </si>
  <si>
    <t>PRODUCOTE N 39</t>
  </si>
  <si>
    <t>Obs: assim que clicar, Alt+TAB para mylims</t>
  </si>
  <si>
    <t>VALORES OBTIDOS POR ANÁLISE DE PENEIRA</t>
  </si>
  <si>
    <t>Balão</t>
  </si>
  <si>
    <t>Cad Cheio</t>
  </si>
  <si>
    <t>KS</t>
  </si>
  <si>
    <t>GRANUK</t>
  </si>
  <si>
    <t>Normali</t>
  </si>
  <si>
    <t>Alíq</t>
  </si>
  <si>
    <t>POTÁSSIO</t>
  </si>
  <si>
    <t>1º vol</t>
  </si>
  <si>
    <t>2º vol</t>
  </si>
  <si>
    <t>Fator D</t>
  </si>
  <si>
    <t>Aquota</t>
  </si>
  <si>
    <t>%B</t>
  </si>
  <si>
    <t>%Pad</t>
  </si>
  <si>
    <t>Leitura Pad</t>
  </si>
  <si>
    <t>Fator C</t>
  </si>
  <si>
    <t>Result Final</t>
  </si>
  <si>
    <t>B%</t>
  </si>
  <si>
    <t>Result final</t>
  </si>
  <si>
    <t>BA</t>
  </si>
  <si>
    <t>N (com diluição)</t>
  </si>
  <si>
    <t>N (sem diluição)</t>
  </si>
  <si>
    <t>ORDEM DE EXPORTAÇÃO</t>
  </si>
  <si>
    <t>1°</t>
  </si>
  <si>
    <t>Granul_Retida1</t>
  </si>
  <si>
    <t>Granul_Retida2</t>
  </si>
  <si>
    <t>2°</t>
  </si>
  <si>
    <t>3°</t>
  </si>
  <si>
    <t>4°</t>
  </si>
  <si>
    <t>5°</t>
  </si>
  <si>
    <t>6°</t>
  </si>
  <si>
    <t>7º</t>
  </si>
  <si>
    <t>8°</t>
  </si>
  <si>
    <t>FÓSFORO</t>
  </si>
  <si>
    <t/>
  </si>
  <si>
    <t>N (C)</t>
  </si>
  <si>
    <t>N 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</si>
</sst>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"/>
    <numFmt numFmtId="165" formatCode="0.000%"/>
    <numFmt numFmtId="166" formatCode="0.0%"/>
    <numFmt numFmtId="167" formatCode="0.000"/>
    <numFmt numFmtId="168" formatCode="0.0"/>
    <numFmt numFmtId="169" formatCode="0.00000"/>
    <numFmt numFmtId="170" formatCode="0.000_)"/>
    <numFmt numFmtId="171" formatCode="&quot;$&quot;#,##0.00"/>
    <numFmt numFmtId="172" formatCode="_(&quot;R$ &quot;* #,##0.00_);_(&quot;R$ &quot;* \(#,##0.00\);_(&quot;R$ &quot;* &quot;-&quot;??_);_(@_)"/>
    <numFmt numFmtId="173" formatCode="_-* #,##0.00_-;[Red]\-* #,##0.00_-;_-* &quot;&quot;??_-;_-@_-"/>
    <numFmt numFmtId="174" formatCode="[$-416]mmm\-yy;@"/>
  </numFmts>
  <fonts count="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theme="1"/>
      <name val="Arial"/>
      <family val="2"/>
    </font>
    <font>
      <sz val="8"/>
      <color rgb="FFFF000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sz val="10"/>
      <name val="Courier"/>
    </font>
    <font>
      <b/>
      <sz val="10"/>
      <name val="AR"/>
    </font>
    <font>
      <sz val="10"/>
      <name val="AR"/>
    </font>
    <font>
      <b/>
      <sz val="12"/>
      <color theme="0"/>
      <name val="Arial"/>
      <family val="2"/>
    </font>
    <font>
      <b/>
      <sz val="16"/>
      <color theme="1"/>
      <name val="Calibri"/>
      <family val="2"/>
      <scheme val="minor"/>
    </font>
    <font>
      <sz val="10"/>
      <color rgb="FFFF0000"/>
      <name val="AR"/>
    </font>
    <font>
      <b/>
      <sz val="12"/>
      <name val="Arial"/>
      <family val="2"/>
    </font>
    <font>
      <sz val="12"/>
      <name val="Arial"/>
      <family val="2"/>
    </font>
    <font>
      <u/>
      <sz val="10"/>
      <color rgb="FFFF0000"/>
      <name val="AR"/>
    </font>
    <font>
      <b/>
      <sz val="10"/>
      <color theme="0"/>
      <name val="A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2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0" tint="-0.14999847407452621"/>
      <name val="AR"/>
    </font>
    <font>
      <sz val="10"/>
      <color theme="1"/>
      <name val="Calibri"/>
      <family val="2"/>
      <scheme val="minor"/>
    </font>
    <font>
      <b/>
      <i/>
      <sz val="11"/>
      <color rgb="FF008000"/>
      <name val="Calibri"/>
      <family val="2"/>
    </font>
    <font>
      <sz val="11"/>
      <color rgb="FF008000"/>
      <name val="Calibri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ourier"/>
    </font>
    <font>
      <sz val="11"/>
      <name val="Calibri"/>
      <family val="2"/>
      <scheme val="minor"/>
    </font>
    <font>
      <b/>
      <sz val="10"/>
      <color rgb="FF0070C0"/>
      <name val="AR"/>
    </font>
    <font>
      <sz val="11"/>
      <color rgb="FF0070C0"/>
      <name val="Calibri"/>
      <family val="2"/>
      <scheme val="minor"/>
    </font>
    <font>
      <b/>
      <sz val="14"/>
      <color theme="0"/>
      <name val="AR"/>
    </font>
    <font>
      <b/>
      <sz val="20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70C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auto="1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/>
      <diagonal style="thin">
        <color indexed="64"/>
      </diagonal>
    </border>
    <border diagonalUp="1" diagonalDown="1">
      <left/>
      <right/>
      <top/>
      <bottom/>
      <diagonal style="thin">
        <color indexed="64"/>
      </diagonal>
    </border>
    <border diagonalUp="1" diagonalDown="1">
      <left/>
      <right style="thin">
        <color auto="1"/>
      </right>
      <top/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 diagonalDown="1">
      <left/>
      <right/>
      <top/>
      <bottom style="thin">
        <color auto="1"/>
      </bottom>
      <diagonal style="thin">
        <color indexed="64"/>
      </diagonal>
    </border>
    <border diagonalUp="1" diagonalDown="1">
      <left/>
      <right style="thin">
        <color auto="1"/>
      </right>
      <top/>
      <bottom style="thin">
        <color auto="1"/>
      </bottom>
      <diagonal style="thin">
        <color indexed="64"/>
      </diagonal>
    </border>
    <border diagonalUp="1" diagonalDown="1"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medium">
        <color indexed="64"/>
      </diagonal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 diagonalUp="1" diagonalDown="1">
      <left style="medium">
        <color indexed="64"/>
      </left>
      <right style="medium">
        <color indexed="64"/>
      </right>
      <top style="thin">
        <color indexed="64"/>
      </top>
      <bottom/>
      <diagonal style="medium">
        <color indexed="64"/>
      </diagonal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9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3" fillId="0" borderId="0"/>
    <xf numFmtId="9" fontId="11" fillId="0" borderId="0" applyFont="0" applyFill="0" applyBorder="0" applyAlignment="0" applyProtection="0"/>
    <xf numFmtId="171" fontId="30" fillId="0" borderId="0" applyNumberFormat="0" applyFill="0" applyBorder="0">
      <alignment horizontal="right" vertical="center" indent="1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43" fontId="11" fillId="0" borderId="0" applyFont="0" applyFill="0" applyBorder="0" applyAlignment="0" applyProtection="0"/>
    <xf numFmtId="0" fontId="11" fillId="13" borderId="0" applyAlignment="0"/>
    <xf numFmtId="172" fontId="11" fillId="0" borderId="0" applyFont="0" applyFill="0" applyBorder="0" applyAlignment="0" applyProtection="0"/>
    <xf numFmtId="172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22" borderId="68" applyNumberFormat="0" applyFont="0" applyAlignment="0" applyProtection="0"/>
    <xf numFmtId="0" fontId="1" fillId="22" borderId="68" applyNumberFormat="0" applyFont="0" applyAlignment="0" applyProtection="0"/>
    <xf numFmtId="0" fontId="1" fillId="22" borderId="68" applyNumberFormat="0" applyFont="0" applyAlignment="0" applyProtection="0"/>
    <xf numFmtId="0" fontId="1" fillId="22" borderId="68" applyNumberFormat="0" applyFont="0" applyAlignment="0" applyProtection="0"/>
    <xf numFmtId="0" fontId="1" fillId="22" borderId="68" applyNumberFormat="0" applyFont="0" applyAlignment="0" applyProtection="0"/>
    <xf numFmtId="0" fontId="1" fillId="22" borderId="68" applyNumberFormat="0" applyFont="0" applyAlignment="0" applyProtection="0"/>
    <xf numFmtId="0" fontId="1" fillId="22" borderId="68" applyNumberFormat="0" applyFont="0" applyAlignment="0" applyProtection="0"/>
    <xf numFmtId="9" fontId="11" fillId="0" borderId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17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7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4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83">
    <xf numFmtId="0" fontId="0" fillId="0" borderId="0" xfId="0"/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4" fontId="2" fillId="0" borderId="8" xfId="0" applyNumberFormat="1" applyFont="1" applyBorder="1" applyAlignment="1">
      <alignment horizontal="center"/>
    </xf>
    <xf numFmtId="2" fontId="2" fillId="0" borderId="9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2" fontId="2" fillId="0" borderId="18" xfId="1" applyNumberFormat="1" applyFont="1" applyBorder="1"/>
    <xf numFmtId="2" fontId="2" fillId="0" borderId="18" xfId="0" applyNumberFormat="1" applyFont="1" applyBorder="1"/>
    <xf numFmtId="0" fontId="3" fillId="0" borderId="1" xfId="0" applyFont="1" applyBorder="1" applyAlignment="1">
      <alignment horizontal="center" vertical="center"/>
    </xf>
    <xf numFmtId="1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0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/>
    </xf>
    <xf numFmtId="10" fontId="0" fillId="0" borderId="1" xfId="0" applyNumberFormat="1" applyBorder="1" applyAlignment="1">
      <alignment horizontal="center" vertical="center"/>
    </xf>
    <xf numFmtId="0" fontId="6" fillId="9" borderId="5" xfId="0" quotePrefix="1" applyFont="1" applyFill="1" applyBorder="1" applyAlignment="1" applyProtection="1">
      <alignment horizontal="center" vertical="center"/>
      <protection locked="0"/>
    </xf>
    <xf numFmtId="0" fontId="6" fillId="0" borderId="5" xfId="0" quotePrefix="1" applyFont="1" applyBorder="1" applyAlignment="1" applyProtection="1">
      <alignment horizontal="center" vertical="center"/>
      <protection locked="0"/>
    </xf>
    <xf numFmtId="2" fontId="6" fillId="0" borderId="5" xfId="0" quotePrefix="1" applyNumberFormat="1" applyFont="1" applyBorder="1" applyAlignment="1" applyProtection="1">
      <alignment horizontal="center" vertical="center"/>
      <protection locked="0"/>
    </xf>
    <xf numFmtId="0" fontId="7" fillId="0" borderId="5" xfId="0" quotePrefix="1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7" fillId="9" borderId="5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vertical="center"/>
    </xf>
    <xf numFmtId="0" fontId="0" fillId="0" borderId="27" xfId="0" applyBorder="1"/>
    <xf numFmtId="166" fontId="8" fillId="0" borderId="28" xfId="1" quotePrefix="1" applyNumberFormat="1" applyFont="1" applyBorder="1" applyAlignment="1" applyProtection="1">
      <alignment horizontal="center"/>
    </xf>
    <xf numFmtId="10" fontId="8" fillId="0" borderId="28" xfId="1" quotePrefix="1" applyNumberFormat="1" applyFont="1" applyBorder="1" applyAlignment="1" applyProtection="1">
      <alignment horizontal="center"/>
    </xf>
    <xf numFmtId="10" fontId="8" fillId="0" borderId="29" xfId="1" quotePrefix="1" applyNumberFormat="1" applyFont="1" applyBorder="1" applyAlignment="1" applyProtection="1"/>
    <xf numFmtId="166" fontId="8" fillId="0" borderId="1" xfId="1" quotePrefix="1" applyNumberFormat="1" applyFont="1" applyBorder="1" applyAlignment="1" applyProtection="1">
      <alignment horizontal="center"/>
    </xf>
    <xf numFmtId="10" fontId="8" fillId="0" borderId="1" xfId="0" applyNumberFormat="1" applyFont="1" applyBorder="1" applyAlignment="1">
      <alignment horizontal="center" vertical="center" wrapText="1"/>
    </xf>
    <xf numFmtId="10" fontId="9" fillId="0" borderId="1" xfId="0" applyNumberFormat="1" applyFont="1" applyBorder="1" applyAlignment="1">
      <alignment horizontal="center" vertical="center" wrapText="1"/>
    </xf>
    <xf numFmtId="0" fontId="0" fillId="0" borderId="1" xfId="0" applyBorder="1"/>
    <xf numFmtId="2" fontId="0" fillId="0" borderId="1" xfId="0" applyNumberFormat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10" fontId="5" fillId="0" borderId="1" xfId="0" applyNumberFormat="1" applyFont="1" applyBorder="1" applyAlignment="1">
      <alignment horizontal="center" vertical="center"/>
    </xf>
    <xf numFmtId="10" fontId="5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0" fontId="5" fillId="0" borderId="1" xfId="1" applyNumberFormat="1" applyFont="1" applyBorder="1" applyAlignment="1">
      <alignment horizontal="center" vertical="center"/>
    </xf>
    <xf numFmtId="10" fontId="5" fillId="0" borderId="1" xfId="1" applyNumberFormat="1" applyFont="1" applyBorder="1" applyAlignment="1">
      <alignment horizontal="center" vertical="center" wrapText="1"/>
    </xf>
    <xf numFmtId="10" fontId="8" fillId="0" borderId="30" xfId="1" quotePrefix="1" applyNumberFormat="1" applyFont="1" applyBorder="1" applyAlignment="1" applyProtection="1">
      <alignment horizontal="center"/>
    </xf>
    <xf numFmtId="10" fontId="8" fillId="0" borderId="29" xfId="1" quotePrefix="1" applyNumberFormat="1" applyFont="1" applyBorder="1" applyAlignment="1" applyProtection="1">
      <alignment horizontal="center"/>
    </xf>
    <xf numFmtId="10" fontId="8" fillId="0" borderId="0" xfId="1" quotePrefix="1" applyNumberFormat="1" applyFont="1" applyBorder="1" applyAlignment="1" applyProtection="1">
      <alignment horizontal="center"/>
    </xf>
    <xf numFmtId="166" fontId="8" fillId="0" borderId="0" xfId="1" quotePrefix="1" applyNumberFormat="1" applyFont="1" applyBorder="1" applyAlignment="1" applyProtection="1">
      <alignment horizontal="center"/>
    </xf>
    <xf numFmtId="0" fontId="4" fillId="0" borderId="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10" borderId="31" xfId="0" applyFont="1" applyFill="1" applyBorder="1" applyAlignment="1">
      <alignment horizontal="center"/>
    </xf>
    <xf numFmtId="10" fontId="8" fillId="0" borderId="11" xfId="1" quotePrefix="1" applyNumberFormat="1" applyFont="1" applyBorder="1" applyAlignment="1" applyProtection="1">
      <alignment horizontal="center"/>
    </xf>
    <xf numFmtId="166" fontId="8" fillId="0" borderId="12" xfId="1" quotePrefix="1" applyNumberFormat="1" applyFont="1" applyBorder="1" applyAlignment="1" applyProtection="1">
      <alignment horizontal="center"/>
    </xf>
    <xf numFmtId="10" fontId="8" fillId="0" borderId="13" xfId="1" quotePrefix="1" applyNumberFormat="1" applyFont="1" applyBorder="1" applyAlignment="1" applyProtection="1">
      <alignment horizontal="center"/>
    </xf>
    <xf numFmtId="10" fontId="8" fillId="0" borderId="14" xfId="1" quotePrefix="1" applyNumberFormat="1" applyFont="1" applyBorder="1" applyAlignment="1" applyProtection="1">
      <alignment horizontal="center"/>
    </xf>
    <xf numFmtId="10" fontId="8" fillId="0" borderId="15" xfId="1" quotePrefix="1" applyNumberFormat="1" applyFont="1" applyBorder="1" applyAlignment="1" applyProtection="1">
      <alignment horizontal="center"/>
    </xf>
    <xf numFmtId="10" fontId="8" fillId="0" borderId="16" xfId="1" quotePrefix="1" applyNumberFormat="1" applyFont="1" applyBorder="1" applyAlignment="1" applyProtection="1">
      <alignment horizontal="center"/>
    </xf>
    <xf numFmtId="166" fontId="8" fillId="0" borderId="17" xfId="1" quotePrefix="1" applyNumberFormat="1" applyFont="1" applyBorder="1" applyAlignment="1" applyProtection="1">
      <alignment horizontal="center"/>
    </xf>
    <xf numFmtId="10" fontId="8" fillId="0" borderId="18" xfId="1" quotePrefix="1" applyNumberFormat="1" applyFont="1" applyBorder="1" applyAlignment="1" applyProtection="1">
      <alignment horizontal="center"/>
    </xf>
    <xf numFmtId="10" fontId="3" fillId="0" borderId="13" xfId="2" applyNumberFormat="1" applyFont="1" applyBorder="1" applyAlignment="1">
      <alignment horizontal="center" vertical="center"/>
    </xf>
    <xf numFmtId="10" fontId="3" fillId="0" borderId="15" xfId="2" applyNumberFormat="1" applyFont="1" applyBorder="1" applyAlignment="1">
      <alignment horizontal="center" vertical="center"/>
    </xf>
    <xf numFmtId="10" fontId="3" fillId="0" borderId="18" xfId="2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/>
    </xf>
    <xf numFmtId="10" fontId="3" fillId="0" borderId="13" xfId="0" applyNumberFormat="1" applyFont="1" applyBorder="1" applyAlignment="1">
      <alignment horizontal="center"/>
    </xf>
    <xf numFmtId="10" fontId="3" fillId="0" borderId="15" xfId="0" applyNumberFormat="1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3" fillId="10" borderId="31" xfId="0" applyFont="1" applyFill="1" applyBorder="1" applyAlignment="1">
      <alignment horizontal="center" vertical="center"/>
    </xf>
    <xf numFmtId="0" fontId="3" fillId="10" borderId="32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0" fontId="0" fillId="0" borderId="5" xfId="1" applyNumberFormat="1" applyFont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6" fillId="9" borderId="5" xfId="0" quotePrefix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5" fillId="0" borderId="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14" borderId="0" xfId="0" applyFill="1"/>
    <xf numFmtId="0" fontId="3" fillId="10" borderId="1" xfId="0" applyFont="1" applyFill="1" applyBorder="1" applyAlignment="1">
      <alignment horizontal="center"/>
    </xf>
    <xf numFmtId="10" fontId="6" fillId="14" borderId="1" xfId="0" quotePrefix="1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/>
    </xf>
    <xf numFmtId="0" fontId="4" fillId="5" borderId="3" xfId="0" applyFont="1" applyFill="1" applyBorder="1" applyAlignment="1">
      <alignment vertical="center"/>
    </xf>
    <xf numFmtId="0" fontId="4" fillId="5" borderId="26" xfId="0" applyFont="1" applyFill="1" applyBorder="1" applyAlignment="1">
      <alignment vertical="center"/>
    </xf>
    <xf numFmtId="0" fontId="3" fillId="10" borderId="1" xfId="0" applyFon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6" borderId="4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15" xfId="0" applyNumberFormat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164" fontId="2" fillId="0" borderId="17" xfId="0" applyNumberFormat="1" applyFont="1" applyBorder="1" applyAlignment="1">
      <alignment horizontal="center" vertical="center"/>
    </xf>
    <xf numFmtId="2" fontId="2" fillId="0" borderId="17" xfId="0" applyNumberFormat="1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0" fillId="13" borderId="14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3" borderId="15" xfId="0" applyFont="1" applyFill="1" applyBorder="1" applyAlignment="1">
      <alignment horizontal="center" vertical="center"/>
    </xf>
    <xf numFmtId="0" fontId="2" fillId="15" borderId="14" xfId="0" applyFont="1" applyFill="1" applyBorder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2" fontId="0" fillId="15" borderId="1" xfId="0" applyNumberFormat="1" applyFill="1" applyBorder="1" applyAlignment="1">
      <alignment horizontal="center" vertical="center"/>
    </xf>
    <xf numFmtId="164" fontId="2" fillId="15" borderId="1" xfId="0" applyNumberFormat="1" applyFont="1" applyFill="1" applyBorder="1" applyAlignment="1">
      <alignment horizontal="center" vertical="center"/>
    </xf>
    <xf numFmtId="2" fontId="2" fillId="15" borderId="15" xfId="0" applyNumberFormat="1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167" fontId="2" fillId="0" borderId="15" xfId="0" applyNumberFormat="1" applyFont="1" applyBorder="1" applyAlignment="1">
      <alignment horizontal="center" vertical="center"/>
    </xf>
    <xf numFmtId="167" fontId="2" fillId="0" borderId="18" xfId="0" applyNumberFormat="1" applyFont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4" fontId="0" fillId="14" borderId="5" xfId="0" applyNumberFormat="1" applyFill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10" fillId="13" borderId="43" xfId="0" applyFont="1" applyFill="1" applyBorder="1" applyAlignment="1">
      <alignment horizontal="center" vertical="center"/>
    </xf>
    <xf numFmtId="0" fontId="10" fillId="13" borderId="10" xfId="0" applyFont="1" applyFill="1" applyBorder="1" applyAlignment="1">
      <alignment horizontal="center" vertical="center"/>
    </xf>
    <xf numFmtId="10" fontId="2" fillId="14" borderId="47" xfId="0" applyNumberFormat="1" applyFont="1" applyFill="1" applyBorder="1" applyAlignment="1">
      <alignment horizontal="center" vertical="center"/>
    </xf>
    <xf numFmtId="10" fontId="2" fillId="15" borderId="15" xfId="0" applyNumberFormat="1" applyFont="1" applyFill="1" applyBorder="1" applyAlignment="1">
      <alignment horizontal="center" vertical="center"/>
    </xf>
    <xf numFmtId="2" fontId="2" fillId="9" borderId="15" xfId="0" applyNumberFormat="1" applyFont="1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164" fontId="2" fillId="9" borderId="1" xfId="0" applyNumberFormat="1" applyFont="1" applyFill="1" applyBorder="1" applyAlignment="1">
      <alignment horizontal="center" vertical="center"/>
    </xf>
    <xf numFmtId="0" fontId="10" fillId="13" borderId="7" xfId="0" applyFont="1" applyFill="1" applyBorder="1" applyAlignment="1">
      <alignment horizontal="center" vertical="center"/>
    </xf>
    <xf numFmtId="164" fontId="10" fillId="13" borderId="8" xfId="0" applyNumberFormat="1" applyFont="1" applyFill="1" applyBorder="1" applyAlignment="1">
      <alignment horizontal="center" vertical="center"/>
    </xf>
    <xf numFmtId="10" fontId="10" fillId="13" borderId="38" xfId="0" applyNumberFormat="1" applyFont="1" applyFill="1" applyBorder="1" applyAlignment="1">
      <alignment horizontal="center" vertical="center"/>
    </xf>
    <xf numFmtId="164" fontId="10" fillId="13" borderId="1" xfId="0" applyNumberFormat="1" applyFont="1" applyFill="1" applyBorder="1" applyAlignment="1">
      <alignment horizontal="center" vertical="center"/>
    </xf>
    <xf numFmtId="10" fontId="10" fillId="13" borderId="15" xfId="0" applyNumberFormat="1" applyFont="1" applyFill="1" applyBorder="1" applyAlignment="1">
      <alignment horizontal="center" vertical="center"/>
    </xf>
    <xf numFmtId="0" fontId="10" fillId="13" borderId="16" xfId="0" applyFont="1" applyFill="1" applyBorder="1" applyAlignment="1">
      <alignment horizontal="center" vertical="center"/>
    </xf>
    <xf numFmtId="164" fontId="10" fillId="13" borderId="17" xfId="0" applyNumberFormat="1" applyFont="1" applyFill="1" applyBorder="1" applyAlignment="1">
      <alignment horizontal="center" vertical="center"/>
    </xf>
    <xf numFmtId="10" fontId="10" fillId="13" borderId="18" xfId="0" applyNumberFormat="1" applyFont="1" applyFill="1" applyBorder="1" applyAlignment="1">
      <alignment horizontal="center" vertical="center"/>
    </xf>
    <xf numFmtId="0" fontId="0" fillId="14" borderId="14" xfId="0" applyFill="1" applyBorder="1" applyAlignment="1">
      <alignment horizontal="center" vertical="center"/>
    </xf>
    <xf numFmtId="164" fontId="0" fillId="14" borderId="1" xfId="0" applyNumberFormat="1" applyFill="1" applyBorder="1" applyAlignment="1">
      <alignment horizontal="center" vertical="center"/>
    </xf>
    <xf numFmtId="0" fontId="0" fillId="15" borderId="15" xfId="0" applyFill="1" applyBorder="1" applyAlignment="1">
      <alignment horizontal="center" vertical="center"/>
    </xf>
    <xf numFmtId="1" fontId="2" fillId="0" borderId="14" xfId="0" applyNumberFormat="1" applyFont="1" applyBorder="1" applyAlignment="1">
      <alignment horizontal="center" vertical="center"/>
    </xf>
    <xf numFmtId="1" fontId="2" fillId="0" borderId="16" xfId="0" applyNumberFormat="1" applyFont="1" applyBorder="1" applyAlignment="1">
      <alignment horizontal="center" vertical="center"/>
    </xf>
    <xf numFmtId="14" fontId="10" fillId="13" borderId="14" xfId="0" applyNumberFormat="1" applyFont="1" applyFill="1" applyBorder="1" applyAlignment="1">
      <alignment horizontal="center" vertical="center"/>
    </xf>
    <xf numFmtId="167" fontId="12" fillId="13" borderId="1" xfId="0" applyNumberFormat="1" applyFont="1" applyFill="1" applyBorder="1" applyAlignment="1">
      <alignment horizontal="center" vertical="center"/>
    </xf>
    <xf numFmtId="167" fontId="10" fillId="13" borderId="1" xfId="0" applyNumberFormat="1" applyFont="1" applyFill="1" applyBorder="1" applyAlignment="1">
      <alignment horizontal="center" vertical="center"/>
    </xf>
    <xf numFmtId="0" fontId="2" fillId="9" borderId="14" xfId="0" applyFont="1" applyFill="1" applyBorder="1" applyAlignment="1">
      <alignment horizontal="center" vertical="center"/>
    </xf>
    <xf numFmtId="167" fontId="0" fillId="0" borderId="42" xfId="0" applyNumberFormat="1" applyBorder="1" applyAlignment="1">
      <alignment horizontal="center"/>
    </xf>
    <xf numFmtId="0" fontId="10" fillId="13" borderId="41" xfId="0" applyFont="1" applyFill="1" applyBorder="1" applyAlignment="1">
      <alignment horizontal="center" vertical="center"/>
    </xf>
    <xf numFmtId="164" fontId="2" fillId="0" borderId="15" xfId="0" applyNumberFormat="1" applyFont="1" applyBorder="1" applyAlignment="1">
      <alignment horizontal="center" vertical="center"/>
    </xf>
    <xf numFmtId="164" fontId="2" fillId="0" borderId="42" xfId="0" applyNumberFormat="1" applyFont="1" applyBorder="1" applyAlignment="1">
      <alignment horizontal="center" vertical="center"/>
    </xf>
    <xf numFmtId="169" fontId="2" fillId="0" borderId="1" xfId="0" applyNumberFormat="1" applyFont="1" applyBorder="1" applyAlignment="1">
      <alignment horizontal="center" vertical="center"/>
    </xf>
    <xf numFmtId="169" fontId="2" fillId="15" borderId="1" xfId="0" applyNumberFormat="1" applyFont="1" applyFill="1" applyBorder="1" applyAlignment="1">
      <alignment horizontal="center" vertical="center"/>
    </xf>
    <xf numFmtId="169" fontId="2" fillId="0" borderId="17" xfId="0" applyNumberFormat="1" applyFont="1" applyBorder="1" applyAlignment="1">
      <alignment horizontal="center" vertical="center"/>
    </xf>
    <xf numFmtId="167" fontId="0" fillId="0" borderId="18" xfId="0" applyNumberFormat="1" applyBorder="1" applyAlignment="1">
      <alignment horizontal="center" vertical="center"/>
    </xf>
    <xf numFmtId="164" fontId="2" fillId="0" borderId="18" xfId="0" applyNumberFormat="1" applyFont="1" applyBorder="1" applyAlignment="1">
      <alignment horizontal="center" vertical="center"/>
    </xf>
    <xf numFmtId="10" fontId="0" fillId="15" borderId="1" xfId="0" applyNumberFormat="1" applyFill="1" applyBorder="1" applyAlignment="1">
      <alignment horizontal="center" vertical="center"/>
    </xf>
    <xf numFmtId="164" fontId="0" fillId="0" borderId="0" xfId="0" applyNumberFormat="1"/>
    <xf numFmtId="167" fontId="0" fillId="0" borderId="0" xfId="0" applyNumberFormat="1"/>
    <xf numFmtId="167" fontId="2" fillId="15" borderId="15" xfId="0" applyNumberFormat="1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167" fontId="10" fillId="13" borderId="18" xfId="0" applyNumberFormat="1" applyFont="1" applyFill="1" applyBorder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0" fontId="14" fillId="0" borderId="0" xfId="3" applyFont="1"/>
    <xf numFmtId="0" fontId="15" fillId="14" borderId="0" xfId="3" applyFont="1" applyFill="1"/>
    <xf numFmtId="0" fontId="15" fillId="0" borderId="23" xfId="3" applyFont="1" applyBorder="1"/>
    <xf numFmtId="0" fontId="15" fillId="0" borderId="1" xfId="3" applyFont="1" applyBorder="1"/>
    <xf numFmtId="0" fontId="14" fillId="14" borderId="0" xfId="3" applyFont="1" applyFill="1"/>
    <xf numFmtId="0" fontId="14" fillId="0" borderId="23" xfId="3" applyFont="1" applyBorder="1"/>
    <xf numFmtId="0" fontId="14" fillId="0" borderId="1" xfId="3" applyFont="1" applyBorder="1"/>
    <xf numFmtId="0" fontId="13" fillId="0" borderId="0" xfId="3"/>
    <xf numFmtId="0" fontId="16" fillId="13" borderId="48" xfId="3" applyFont="1" applyFill="1" applyBorder="1" applyAlignment="1">
      <alignment horizontal="center" vertical="center"/>
    </xf>
    <xf numFmtId="0" fontId="16" fillId="13" borderId="48" xfId="3" applyFont="1" applyFill="1" applyBorder="1" applyAlignment="1">
      <alignment horizontal="center" vertical="center" wrapText="1"/>
    </xf>
    <xf numFmtId="2" fontId="17" fillId="19" borderId="1" xfId="0" applyNumberFormat="1" applyFont="1" applyFill="1" applyBorder="1" applyAlignment="1">
      <alignment horizontal="center" vertical="center"/>
    </xf>
    <xf numFmtId="0" fontId="18" fillId="14" borderId="14" xfId="3" applyFont="1" applyFill="1" applyBorder="1" applyAlignment="1" applyProtection="1">
      <alignment horizontal="center"/>
      <protection locked="0"/>
    </xf>
    <xf numFmtId="2" fontId="15" fillId="14" borderId="1" xfId="3" applyNumberFormat="1" applyFont="1" applyFill="1" applyBorder="1" applyAlignment="1" applyProtection="1">
      <alignment horizontal="center"/>
      <protection locked="0"/>
    </xf>
    <xf numFmtId="0" fontId="18" fillId="14" borderId="1" xfId="3" applyFont="1" applyFill="1" applyBorder="1" applyAlignment="1" applyProtection="1">
      <alignment horizontal="center"/>
      <protection locked="0"/>
    </xf>
    <xf numFmtId="2" fontId="18" fillId="14" borderId="1" xfId="3" applyNumberFormat="1" applyFont="1" applyFill="1" applyBorder="1" applyAlignment="1" applyProtection="1">
      <alignment horizontal="center"/>
      <protection locked="0"/>
    </xf>
    <xf numFmtId="2" fontId="18" fillId="14" borderId="1" xfId="4" applyNumberFormat="1" applyFont="1" applyFill="1" applyBorder="1" applyAlignment="1" applyProtection="1">
      <alignment horizontal="center"/>
      <protection locked="0"/>
    </xf>
    <xf numFmtId="2" fontId="18" fillId="14" borderId="15" xfId="3" applyNumberFormat="1" applyFont="1" applyFill="1" applyBorder="1" applyAlignment="1" applyProtection="1">
      <alignment horizontal="center"/>
      <protection locked="0"/>
    </xf>
    <xf numFmtId="0" fontId="19" fillId="14" borderId="0" xfId="3" applyFont="1" applyFill="1" applyAlignment="1">
      <alignment horizontal="center" vertical="center"/>
    </xf>
    <xf numFmtId="2" fontId="20" fillId="14" borderId="0" xfId="3" applyNumberFormat="1" applyFont="1" applyFill="1" applyAlignment="1">
      <alignment horizontal="center" vertical="center"/>
    </xf>
    <xf numFmtId="0" fontId="18" fillId="15" borderId="14" xfId="3" applyFont="1" applyFill="1" applyBorder="1" applyAlignment="1" applyProtection="1">
      <alignment horizontal="center"/>
      <protection locked="0"/>
    </xf>
    <xf numFmtId="2" fontId="15" fillId="15" borderId="1" xfId="3" applyNumberFormat="1" applyFont="1" applyFill="1" applyBorder="1" applyAlignment="1" applyProtection="1">
      <alignment horizontal="center"/>
      <protection locked="0"/>
    </xf>
    <xf numFmtId="0" fontId="21" fillId="15" borderId="1" xfId="3" applyFont="1" applyFill="1" applyBorder="1" applyAlignment="1" applyProtection="1">
      <alignment horizontal="center"/>
      <protection locked="0"/>
    </xf>
    <xf numFmtId="2" fontId="18" fillId="15" borderId="1" xfId="3" applyNumberFormat="1" applyFont="1" applyFill="1" applyBorder="1" applyAlignment="1" applyProtection="1">
      <alignment horizontal="center"/>
      <protection locked="0"/>
    </xf>
    <xf numFmtId="2" fontId="18" fillId="15" borderId="1" xfId="4" applyNumberFormat="1" applyFont="1" applyFill="1" applyBorder="1" applyAlignment="1" applyProtection="1">
      <alignment horizontal="center"/>
      <protection locked="0"/>
    </xf>
    <xf numFmtId="2" fontId="18" fillId="15" borderId="15" xfId="3" applyNumberFormat="1" applyFont="1" applyFill="1" applyBorder="1" applyAlignment="1" applyProtection="1">
      <alignment horizontal="center"/>
      <protection locked="0"/>
    </xf>
    <xf numFmtId="0" fontId="21" fillId="14" borderId="1" xfId="3" applyFont="1" applyFill="1" applyBorder="1" applyAlignment="1" applyProtection="1">
      <alignment horizontal="center"/>
      <protection locked="0"/>
    </xf>
    <xf numFmtId="0" fontId="18" fillId="15" borderId="1" xfId="3" applyFont="1" applyFill="1" applyBorder="1" applyAlignment="1" applyProtection="1">
      <alignment horizontal="center"/>
      <protection locked="0"/>
    </xf>
    <xf numFmtId="0" fontId="14" fillId="0" borderId="0" xfId="3" applyFont="1" applyAlignment="1">
      <alignment horizontal="center"/>
    </xf>
    <xf numFmtId="0" fontId="14" fillId="19" borderId="14" xfId="3" applyFont="1" applyFill="1" applyBorder="1" applyAlignment="1">
      <alignment horizontal="center"/>
    </xf>
    <xf numFmtId="0" fontId="15" fillId="19" borderId="1" xfId="3" applyFont="1" applyFill="1" applyBorder="1" applyAlignment="1">
      <alignment horizontal="center" vertical="center" wrapText="1"/>
    </xf>
    <xf numFmtId="0" fontId="14" fillId="16" borderId="14" xfId="3" applyFont="1" applyFill="1" applyBorder="1" applyAlignment="1">
      <alignment horizontal="center"/>
    </xf>
    <xf numFmtId="0" fontId="15" fillId="16" borderId="1" xfId="3" applyFont="1" applyFill="1" applyBorder="1" applyAlignment="1">
      <alignment horizontal="center" vertical="center" wrapText="1"/>
    </xf>
    <xf numFmtId="0" fontId="14" fillId="20" borderId="16" xfId="3" quotePrefix="1" applyFont="1" applyFill="1" applyBorder="1" applyAlignment="1">
      <alignment horizontal="center"/>
    </xf>
    <xf numFmtId="0" fontId="15" fillId="20" borderId="17" xfId="3" applyFont="1" applyFill="1" applyBorder="1" applyAlignment="1">
      <alignment horizontal="center" vertical="center" wrapText="1"/>
    </xf>
    <xf numFmtId="170" fontId="15" fillId="0" borderId="0" xfId="3" applyNumberFormat="1" applyFont="1" applyProtection="1">
      <protection locked="0"/>
    </xf>
    <xf numFmtId="0" fontId="18" fillId="14" borderId="16" xfId="3" applyFont="1" applyFill="1" applyBorder="1" applyAlignment="1" applyProtection="1">
      <alignment horizontal="center"/>
      <protection locked="0"/>
    </xf>
    <xf numFmtId="2" fontId="18" fillId="14" borderId="17" xfId="3" applyNumberFormat="1" applyFont="1" applyFill="1" applyBorder="1" applyAlignment="1" applyProtection="1">
      <alignment horizontal="center"/>
      <protection locked="0"/>
    </xf>
    <xf numFmtId="0" fontId="18" fillId="14" borderId="17" xfId="3" applyFont="1" applyFill="1" applyBorder="1" applyAlignment="1" applyProtection="1">
      <alignment horizontal="center"/>
      <protection locked="0"/>
    </xf>
    <xf numFmtId="2" fontId="18" fillId="14" borderId="17" xfId="4" applyNumberFormat="1" applyFont="1" applyFill="1" applyBorder="1" applyAlignment="1" applyProtection="1">
      <alignment horizontal="center"/>
      <protection locked="0"/>
    </xf>
    <xf numFmtId="2" fontId="15" fillId="14" borderId="18" xfId="3" applyNumberFormat="1" applyFont="1" applyFill="1" applyBorder="1" applyAlignment="1" applyProtection="1">
      <alignment horizontal="center"/>
      <protection locked="0"/>
    </xf>
    <xf numFmtId="0" fontId="13" fillId="0" borderId="0" xfId="3" applyProtection="1">
      <protection locked="0"/>
    </xf>
    <xf numFmtId="2" fontId="0" fillId="0" borderId="15" xfId="0" applyNumberFormat="1" applyBorder="1" applyAlignment="1">
      <alignment horizontal="center" vertical="center"/>
    </xf>
    <xf numFmtId="2" fontId="0" fillId="15" borderId="15" xfId="0" applyNumberFormat="1" applyFill="1" applyBorder="1" applyAlignment="1">
      <alignment horizontal="center" vertical="center"/>
    </xf>
    <xf numFmtId="0" fontId="15" fillId="0" borderId="0" xfId="3" applyFont="1"/>
    <xf numFmtId="0" fontId="14" fillId="0" borderId="0" xfId="3" applyFont="1" applyAlignment="1">
      <alignment horizontal="center" vertical="center" wrapText="1"/>
    </xf>
    <xf numFmtId="0" fontId="15" fillId="0" borderId="0" xfId="3" applyFont="1" applyAlignment="1">
      <alignment vertical="center"/>
    </xf>
    <xf numFmtId="2" fontId="10" fillId="13" borderId="18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2" fontId="0" fillId="17" borderId="1" xfId="0" applyNumberFormat="1" applyFill="1" applyBorder="1" applyAlignment="1">
      <alignment horizontal="center" vertical="center"/>
    </xf>
    <xf numFmtId="2" fontId="3" fillId="14" borderId="62" xfId="0" applyNumberFormat="1" applyFont="1" applyFill="1" applyBorder="1" applyAlignment="1">
      <alignment horizontal="center" vertical="center"/>
    </xf>
    <xf numFmtId="2" fontId="3" fillId="14" borderId="38" xfId="0" applyNumberFormat="1" applyFont="1" applyFill="1" applyBorder="1" applyAlignment="1">
      <alignment horizontal="center" vertical="center"/>
    </xf>
    <xf numFmtId="164" fontId="3" fillId="14" borderId="8" xfId="0" applyNumberFormat="1" applyFont="1" applyFill="1" applyBorder="1" applyAlignment="1">
      <alignment horizontal="center" vertical="center"/>
    </xf>
    <xf numFmtId="2" fontId="2" fillId="14" borderId="47" xfId="0" applyNumberFormat="1" applyFont="1" applyFill="1" applyBorder="1" applyAlignment="1">
      <alignment horizontal="center" vertical="center"/>
    </xf>
    <xf numFmtId="0" fontId="10" fillId="13" borderId="10" xfId="0" applyFont="1" applyFill="1" applyBorder="1" applyAlignment="1">
      <alignment horizontal="center" vertical="center" wrapText="1"/>
    </xf>
    <xf numFmtId="0" fontId="10" fillId="13" borderId="43" xfId="0" applyFont="1" applyFill="1" applyBorder="1" applyAlignment="1">
      <alignment horizontal="center" vertical="center" wrapText="1"/>
    </xf>
    <xf numFmtId="0" fontId="10" fillId="13" borderId="2" xfId="0" applyFont="1" applyFill="1" applyBorder="1" applyAlignment="1">
      <alignment horizontal="center" vertical="center" wrapText="1"/>
    </xf>
    <xf numFmtId="167" fontId="0" fillId="14" borderId="5" xfId="0" applyNumberFormat="1" applyFill="1" applyBorder="1" applyAlignment="1">
      <alignment horizontal="center" vertical="center"/>
    </xf>
    <xf numFmtId="0" fontId="10" fillId="13" borderId="63" xfId="0" applyFont="1" applyFill="1" applyBorder="1" applyAlignment="1">
      <alignment horizontal="center" vertical="center" wrapText="1"/>
    </xf>
    <xf numFmtId="2" fontId="3" fillId="14" borderId="65" xfId="0" applyNumberFormat="1" applyFont="1" applyFill="1" applyBorder="1" applyAlignment="1">
      <alignment horizontal="center" vertical="center"/>
    </xf>
    <xf numFmtId="2" fontId="3" fillId="14" borderId="66" xfId="0" applyNumberFormat="1" applyFont="1" applyFill="1" applyBorder="1" applyAlignment="1">
      <alignment horizontal="center" vertical="center"/>
    </xf>
    <xf numFmtId="164" fontId="3" fillId="14" borderId="32" xfId="0" applyNumberFormat="1" applyFont="1" applyFill="1" applyBorder="1" applyAlignment="1">
      <alignment horizontal="center" vertical="center"/>
    </xf>
    <xf numFmtId="0" fontId="10" fillId="13" borderId="3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14" borderId="43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164" fontId="2" fillId="14" borderId="1" xfId="0" applyNumberFormat="1" applyFont="1" applyFill="1" applyBorder="1" applyAlignment="1">
      <alignment horizontal="center" vertical="center"/>
    </xf>
    <xf numFmtId="167" fontId="2" fillId="14" borderId="15" xfId="0" applyNumberFormat="1" applyFont="1" applyFill="1" applyBorder="1" applyAlignment="1">
      <alignment horizontal="center" vertical="center"/>
    </xf>
    <xf numFmtId="2" fontId="0" fillId="14" borderId="1" xfId="0" applyNumberFormat="1" applyFill="1" applyBorder="1" applyAlignment="1">
      <alignment horizontal="center" vertical="center"/>
    </xf>
    <xf numFmtId="2" fontId="2" fillId="15" borderId="1" xfId="0" applyNumberFormat="1" applyFont="1" applyFill="1" applyBorder="1" applyAlignment="1">
      <alignment horizontal="center" vertical="center"/>
    </xf>
    <xf numFmtId="167" fontId="2" fillId="0" borderId="1" xfId="0" applyNumberFormat="1" applyFont="1" applyBorder="1" applyAlignment="1">
      <alignment horizontal="center" vertical="center"/>
    </xf>
    <xf numFmtId="167" fontId="2" fillId="9" borderId="15" xfId="0" applyNumberFormat="1" applyFont="1" applyFill="1" applyBorder="1" applyAlignment="1">
      <alignment horizontal="center" vertical="center"/>
    </xf>
    <xf numFmtId="0" fontId="0" fillId="14" borderId="34" xfId="0" applyFill="1" applyBorder="1" applyAlignment="1">
      <alignment horizontal="center" vertical="center"/>
    </xf>
    <xf numFmtId="164" fontId="0" fillId="14" borderId="32" xfId="0" applyNumberFormat="1" applyFill="1" applyBorder="1" applyAlignment="1">
      <alignment horizontal="center" vertical="center"/>
    </xf>
    <xf numFmtId="2" fontId="2" fillId="14" borderId="66" xfId="0" applyNumberFormat="1" applyFont="1" applyFill="1" applyBorder="1" applyAlignment="1">
      <alignment horizontal="center" vertical="center"/>
    </xf>
    <xf numFmtId="164" fontId="0" fillId="14" borderId="0" xfId="0" applyNumberFormat="1" applyFill="1" applyAlignment="1">
      <alignment horizontal="center" vertical="center"/>
    </xf>
    <xf numFmtId="0" fontId="14" fillId="0" borderId="0" xfId="3" applyFont="1" applyAlignment="1">
      <alignment vertical="center" wrapText="1"/>
    </xf>
    <xf numFmtId="0" fontId="29" fillId="0" borderId="0" xfId="3" applyFont="1" applyAlignment="1">
      <alignment horizontal="center" vertical="center" wrapText="1"/>
    </xf>
    <xf numFmtId="2" fontId="18" fillId="0" borderId="0" xfId="4" applyNumberFormat="1" applyFont="1" applyBorder="1" applyAlignment="1" applyProtection="1">
      <alignment horizontal="center" vertical="center"/>
    </xf>
    <xf numFmtId="0" fontId="13" fillId="0" borderId="0" xfId="3" applyAlignment="1">
      <alignment horizontal="center" vertical="center"/>
    </xf>
    <xf numFmtId="0" fontId="13" fillId="0" borderId="0" xfId="3" applyAlignment="1" applyProtection="1">
      <alignment horizontal="center" vertical="center"/>
      <protection locked="0"/>
    </xf>
    <xf numFmtId="2" fontId="18" fillId="14" borderId="14" xfId="3" applyNumberFormat="1" applyFont="1" applyFill="1" applyBorder="1" applyAlignment="1" applyProtection="1">
      <alignment horizontal="center"/>
      <protection locked="0"/>
    </xf>
    <xf numFmtId="2" fontId="18" fillId="15" borderId="14" xfId="3" applyNumberFormat="1" applyFont="1" applyFill="1" applyBorder="1" applyAlignment="1" applyProtection="1">
      <alignment horizontal="center"/>
      <protection locked="0"/>
    </xf>
    <xf numFmtId="0" fontId="10" fillId="13" borderId="39" xfId="0" applyFont="1" applyFill="1" applyBorder="1" applyAlignment="1">
      <alignment horizontal="center" vertical="center"/>
    </xf>
    <xf numFmtId="0" fontId="10" fillId="13" borderId="64" xfId="0" applyFont="1" applyFill="1" applyBorder="1" applyAlignment="1">
      <alignment horizontal="center" vertical="center"/>
    </xf>
    <xf numFmtId="0" fontId="10" fillId="13" borderId="19" xfId="0" applyFont="1" applyFill="1" applyBorder="1" applyAlignment="1">
      <alignment horizontal="center" vertical="center"/>
    </xf>
    <xf numFmtId="0" fontId="10" fillId="13" borderId="69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35" borderId="50" xfId="0" applyFill="1" applyBorder="1" applyAlignment="1">
      <alignment horizontal="center" vertical="center"/>
    </xf>
    <xf numFmtId="0" fontId="0" fillId="36" borderId="50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0" fillId="13" borderId="11" xfId="0" applyFont="1" applyFill="1" applyBorder="1" applyAlignment="1">
      <alignment horizontal="center" vertical="center"/>
    </xf>
    <xf numFmtId="0" fontId="3" fillId="17" borderId="41" xfId="0" applyFont="1" applyFill="1" applyBorder="1" applyAlignment="1">
      <alignment horizontal="center" vertical="center"/>
    </xf>
    <xf numFmtId="0" fontId="3" fillId="17" borderId="70" xfId="0" applyFont="1" applyFill="1" applyBorder="1" applyAlignment="1">
      <alignment horizontal="center" vertical="center"/>
    </xf>
    <xf numFmtId="0" fontId="3" fillId="17" borderId="42" xfId="0" applyFont="1" applyFill="1" applyBorder="1" applyAlignment="1">
      <alignment horizontal="center" vertical="center"/>
    </xf>
    <xf numFmtId="10" fontId="0" fillId="15" borderId="1" xfId="0" applyNumberForma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21" borderId="24" xfId="0" applyFill="1" applyBorder="1" applyAlignment="1">
      <alignment horizontal="center" vertical="center"/>
    </xf>
    <xf numFmtId="0" fontId="0" fillId="21" borderId="22" xfId="0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10" fillId="13" borderId="25" xfId="0" applyFont="1" applyFill="1" applyBorder="1" applyAlignment="1">
      <alignment horizontal="center" vertical="center"/>
    </xf>
    <xf numFmtId="10" fontId="2" fillId="14" borderId="15" xfId="1" applyNumberFormat="1" applyFont="1" applyFill="1" applyBorder="1" applyAlignment="1" applyProtection="1">
      <alignment horizontal="center" vertical="center"/>
    </xf>
    <xf numFmtId="10" fontId="2" fillId="14" borderId="47" xfId="1" applyNumberFormat="1" applyFont="1" applyFill="1" applyBorder="1" applyAlignment="1" applyProtection="1">
      <alignment horizontal="center" vertical="center"/>
    </xf>
    <xf numFmtId="10" fontId="2" fillId="15" borderId="15" xfId="1" applyNumberFormat="1" applyFont="1" applyFill="1" applyBorder="1" applyAlignment="1" applyProtection="1">
      <alignment horizontal="center" vertical="center"/>
    </xf>
    <xf numFmtId="0" fontId="0" fillId="15" borderId="4" xfId="0" applyFill="1" applyBorder="1" applyAlignment="1">
      <alignment horizontal="center" vertical="center"/>
    </xf>
    <xf numFmtId="164" fontId="0" fillId="15" borderId="5" xfId="0" applyNumberFormat="1" applyFill="1" applyBorder="1" applyAlignment="1">
      <alignment horizontal="center" vertical="center"/>
    </xf>
    <xf numFmtId="10" fontId="2" fillId="15" borderId="47" xfId="1" applyNumberFormat="1" applyFont="1" applyFill="1" applyBorder="1" applyAlignment="1" applyProtection="1">
      <alignment horizontal="center" vertical="center"/>
    </xf>
    <xf numFmtId="10" fontId="10" fillId="13" borderId="18" xfId="1" applyNumberFormat="1" applyFont="1" applyFill="1" applyBorder="1" applyAlignment="1" applyProtection="1">
      <alignment horizontal="center" vertical="center"/>
    </xf>
    <xf numFmtId="10" fontId="10" fillId="13" borderId="38" xfId="1" applyNumberFormat="1" applyFont="1" applyFill="1" applyBorder="1" applyAlignment="1" applyProtection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2" fontId="2" fillId="0" borderId="18" xfId="1" applyNumberFormat="1" applyFont="1" applyBorder="1" applyAlignment="1">
      <alignment horizontal="center" vertical="center"/>
    </xf>
    <xf numFmtId="14" fontId="10" fillId="13" borderId="71" xfId="0" applyNumberFormat="1" applyFont="1" applyFill="1" applyBorder="1" applyAlignment="1">
      <alignment horizontal="center" vertical="center"/>
    </xf>
    <xf numFmtId="0" fontId="10" fillId="13" borderId="71" xfId="0" applyFont="1" applyFill="1" applyBorder="1" applyAlignment="1">
      <alignment horizontal="center" vertical="center"/>
    </xf>
    <xf numFmtId="0" fontId="10" fillId="13" borderId="31" xfId="0" applyFont="1" applyFill="1" applyBorder="1" applyAlignment="1">
      <alignment horizontal="center" vertical="center"/>
    </xf>
    <xf numFmtId="0" fontId="10" fillId="13" borderId="72" xfId="0" applyFont="1" applyFill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4" fontId="0" fillId="0" borderId="18" xfId="0" applyNumberFormat="1" applyBorder="1" applyAlignment="1">
      <alignment horizontal="center" vertical="center"/>
    </xf>
    <xf numFmtId="0" fontId="10" fillId="13" borderId="42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5" fillId="0" borderId="0" xfId="3" applyFont="1"/>
    <xf numFmtId="0" fontId="34" fillId="0" borderId="0" xfId="0" applyFont="1" applyAlignment="1">
      <alignment horizontal="center" vertical="center"/>
    </xf>
    <xf numFmtId="0" fontId="34" fillId="0" borderId="0" xfId="0" quotePrefix="1" applyFont="1" applyAlignment="1">
      <alignment horizontal="center" vertical="center"/>
    </xf>
    <xf numFmtId="164" fontId="2" fillId="0" borderId="12" xfId="0" applyNumberFormat="1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0" fillId="0" borderId="0" xfId="0" quotePrefix="1"/>
    <xf numFmtId="0" fontId="0" fillId="0" borderId="38" xfId="0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34" fillId="37" borderId="2" xfId="0" applyFont="1" applyFill="1" applyBorder="1" applyAlignment="1">
      <alignment horizontal="center" vertical="center"/>
    </xf>
    <xf numFmtId="0" fontId="34" fillId="37" borderId="3" xfId="0" applyFont="1" applyFill="1" applyBorder="1" applyAlignment="1">
      <alignment horizontal="center" vertical="center"/>
    </xf>
    <xf numFmtId="0" fontId="37" fillId="37" borderId="3" xfId="3" applyFont="1" applyFill="1" applyBorder="1" applyAlignment="1">
      <alignment horizontal="center" vertical="center" wrapText="1"/>
    </xf>
    <xf numFmtId="0" fontId="37" fillId="37" borderId="3" xfId="3" applyFont="1" applyFill="1" applyBorder="1" applyAlignment="1">
      <alignment horizontal="center" vertical="center"/>
    </xf>
    <xf numFmtId="0" fontId="38" fillId="37" borderId="3" xfId="0" applyFont="1" applyFill="1" applyBorder="1" applyAlignment="1">
      <alignment horizontal="center" vertical="center"/>
    </xf>
    <xf numFmtId="0" fontId="14" fillId="37" borderId="0" xfId="3" applyFont="1" applyFill="1" applyAlignment="1">
      <alignment vertical="center" wrapText="1"/>
    </xf>
    <xf numFmtId="0" fontId="29" fillId="37" borderId="0" xfId="3" applyFont="1" applyFill="1" applyAlignment="1">
      <alignment horizontal="center" vertical="center" wrapText="1"/>
    </xf>
    <xf numFmtId="0" fontId="14" fillId="37" borderId="0" xfId="3" applyFont="1" applyFill="1"/>
    <xf numFmtId="0" fontId="0" fillId="37" borderId="0" xfId="0" applyFill="1"/>
    <xf numFmtId="0" fontId="15" fillId="37" borderId="1" xfId="3" applyFont="1" applyFill="1" applyBorder="1"/>
    <xf numFmtId="0" fontId="15" fillId="37" borderId="0" xfId="3" applyFont="1" applyFill="1"/>
    <xf numFmtId="0" fontId="40" fillId="37" borderId="3" xfId="0" applyFont="1" applyFill="1" applyBorder="1" applyAlignment="1">
      <alignment horizontal="left" vertical="center"/>
    </xf>
    <xf numFmtId="0" fontId="10" fillId="13" borderId="22" xfId="0" applyFont="1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10" fillId="13" borderId="11" xfId="0" applyFont="1" applyFill="1" applyBorder="1" applyAlignment="1">
      <alignment horizontal="center" vertical="center"/>
    </xf>
    <xf numFmtId="0" fontId="10" fillId="13" borderId="12" xfId="0" applyFont="1" applyFill="1" applyBorder="1" applyAlignment="1">
      <alignment horizontal="center" vertical="center"/>
    </xf>
    <xf numFmtId="0" fontId="10" fillId="13" borderId="13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3" borderId="19" xfId="0" applyFont="1" applyFill="1" applyBorder="1" applyAlignment="1">
      <alignment horizontal="center" vertical="center"/>
    </xf>
    <xf numFmtId="0" fontId="10" fillId="13" borderId="20" xfId="0" applyFont="1" applyFill="1" applyBorder="1" applyAlignment="1">
      <alignment horizontal="center" vertical="center"/>
    </xf>
    <xf numFmtId="0" fontId="10" fillId="13" borderId="21" xfId="0" applyFont="1" applyFill="1" applyBorder="1" applyAlignment="1">
      <alignment horizontal="center" vertical="center"/>
    </xf>
    <xf numFmtId="0" fontId="12" fillId="18" borderId="51" xfId="3" applyFont="1" applyFill="1" applyBorder="1" applyAlignment="1" applyProtection="1">
      <alignment horizontal="center" vertical="center" wrapText="1"/>
      <protection locked="0"/>
    </xf>
    <xf numFmtId="0" fontId="12" fillId="18" borderId="5" xfId="3" applyFont="1" applyFill="1" applyBorder="1" applyAlignment="1" applyProtection="1">
      <alignment horizontal="center" vertical="center" wrapText="1"/>
      <protection locked="0"/>
    </xf>
    <xf numFmtId="0" fontId="12" fillId="18" borderId="52" xfId="3" applyFont="1" applyFill="1" applyBorder="1" applyAlignment="1" applyProtection="1">
      <alignment horizontal="center" vertical="center" wrapText="1"/>
      <protection locked="0"/>
    </xf>
    <xf numFmtId="0" fontId="12" fillId="18" borderId="47" xfId="3" applyFont="1" applyFill="1" applyBorder="1" applyAlignment="1" applyProtection="1">
      <alignment horizontal="center" vertical="center" wrapText="1"/>
      <protection locked="0"/>
    </xf>
    <xf numFmtId="0" fontId="39" fillId="37" borderId="0" xfId="3" applyFont="1" applyFill="1" applyAlignment="1">
      <alignment horizontal="right" vertical="center" wrapText="1" indent="4"/>
    </xf>
    <xf numFmtId="0" fontId="39" fillId="37" borderId="40" xfId="3" applyFont="1" applyFill="1" applyBorder="1" applyAlignment="1">
      <alignment horizontal="right" vertical="center" wrapText="1" indent="4"/>
    </xf>
    <xf numFmtId="0" fontId="14" fillId="0" borderId="1" xfId="3" applyFont="1" applyBorder="1" applyAlignment="1">
      <alignment horizontal="center" vertical="center" wrapText="1"/>
    </xf>
    <xf numFmtId="0" fontId="12" fillId="18" borderId="33" xfId="3" applyFont="1" applyFill="1" applyBorder="1" applyAlignment="1" applyProtection="1">
      <alignment horizontal="center" vertical="center" wrapText="1"/>
      <protection locked="0"/>
    </xf>
    <xf numFmtId="0" fontId="12" fillId="18" borderId="4" xfId="3" applyFont="1" applyFill="1" applyBorder="1" applyAlignment="1" applyProtection="1">
      <alignment horizontal="center" vertical="center" wrapText="1"/>
      <protection locked="0"/>
    </xf>
    <xf numFmtId="0" fontId="18" fillId="0" borderId="1" xfId="3" applyFont="1" applyBorder="1" applyAlignment="1">
      <alignment horizontal="center" vertical="center"/>
    </xf>
    <xf numFmtId="167" fontId="18" fillId="0" borderId="31" xfId="3" applyNumberFormat="1" applyFont="1" applyBorder="1" applyAlignment="1">
      <alignment horizontal="center" vertical="center"/>
    </xf>
    <xf numFmtId="167" fontId="18" fillId="0" borderId="5" xfId="3" applyNumberFormat="1" applyFont="1" applyBorder="1" applyAlignment="1">
      <alignment horizontal="center" vertical="center"/>
    </xf>
    <xf numFmtId="167" fontId="18" fillId="0" borderId="1" xfId="3" applyNumberFormat="1" applyFont="1" applyBorder="1" applyAlignment="1">
      <alignment horizontal="center" vertical="center"/>
    </xf>
    <xf numFmtId="2" fontId="18" fillId="0" borderId="31" xfId="4" applyNumberFormat="1" applyFont="1" applyBorder="1" applyAlignment="1" applyProtection="1">
      <alignment horizontal="center" vertical="center"/>
    </xf>
    <xf numFmtId="2" fontId="18" fillId="0" borderId="5" xfId="4" applyNumberFormat="1" applyFont="1" applyBorder="1" applyAlignment="1" applyProtection="1">
      <alignment horizontal="center" vertical="center"/>
    </xf>
    <xf numFmtId="10" fontId="18" fillId="0" borderId="1" xfId="4" applyNumberFormat="1" applyFont="1" applyBorder="1" applyAlignment="1" applyProtection="1">
      <alignment horizontal="center" vertical="center"/>
    </xf>
    <xf numFmtId="10" fontId="18" fillId="0" borderId="31" xfId="4" applyNumberFormat="1" applyFont="1" applyBorder="1" applyAlignment="1" applyProtection="1">
      <alignment horizontal="center" vertical="center"/>
    </xf>
    <xf numFmtId="10" fontId="18" fillId="0" borderId="5" xfId="4" applyNumberFormat="1" applyFont="1" applyBorder="1" applyAlignment="1" applyProtection="1">
      <alignment horizontal="center" vertical="center"/>
    </xf>
    <xf numFmtId="0" fontId="0" fillId="0" borderId="1" xfId="0" applyBorder="1" applyAlignment="1">
      <alignment horizontal="center"/>
    </xf>
    <xf numFmtId="0" fontId="23" fillId="0" borderId="31" xfId="3" applyFont="1" applyBorder="1" applyAlignment="1">
      <alignment horizontal="center" vertical="center"/>
    </xf>
    <xf numFmtId="0" fontId="23" fillId="0" borderId="5" xfId="3" applyFont="1" applyBorder="1" applyAlignment="1">
      <alignment horizontal="center" vertical="center"/>
    </xf>
    <xf numFmtId="0" fontId="24" fillId="0" borderId="31" xfId="3" applyFont="1" applyBorder="1" applyAlignment="1">
      <alignment horizontal="center" vertical="center"/>
    </xf>
    <xf numFmtId="0" fontId="24" fillId="0" borderId="5" xfId="3" applyFont="1" applyBorder="1" applyAlignment="1">
      <alignment horizontal="center" vertical="center"/>
    </xf>
    <xf numFmtId="0" fontId="22" fillId="13" borderId="11" xfId="3" applyFont="1" applyFill="1" applyBorder="1" applyAlignment="1">
      <alignment horizontal="center"/>
    </xf>
    <xf numFmtId="0" fontId="22" fillId="13" borderId="12" xfId="3" applyFont="1" applyFill="1" applyBorder="1" applyAlignment="1">
      <alignment horizontal="center"/>
    </xf>
    <xf numFmtId="0" fontId="22" fillId="13" borderId="13" xfId="3" applyFont="1" applyFill="1" applyBorder="1" applyAlignment="1">
      <alignment horizontal="center"/>
    </xf>
    <xf numFmtId="0" fontId="15" fillId="19" borderId="1" xfId="3" applyFont="1" applyFill="1" applyBorder="1" applyAlignment="1">
      <alignment horizontal="center" vertical="center" wrapText="1"/>
    </xf>
    <xf numFmtId="0" fontId="15" fillId="19" borderId="15" xfId="3" applyFont="1" applyFill="1" applyBorder="1" applyAlignment="1">
      <alignment horizontal="center" vertical="center" wrapText="1"/>
    </xf>
    <xf numFmtId="0" fontId="15" fillId="16" borderId="1" xfId="3" applyFont="1" applyFill="1" applyBorder="1" applyAlignment="1">
      <alignment horizontal="center" vertical="center" wrapText="1"/>
    </xf>
    <xf numFmtId="0" fontId="15" fillId="16" borderId="15" xfId="3" applyFont="1" applyFill="1" applyBorder="1" applyAlignment="1">
      <alignment horizontal="center" vertical="center" wrapText="1"/>
    </xf>
    <xf numFmtId="0" fontId="15" fillId="20" borderId="17" xfId="3" applyFont="1" applyFill="1" applyBorder="1" applyAlignment="1">
      <alignment horizontal="center" vertical="center" wrapText="1"/>
    </xf>
    <xf numFmtId="0" fontId="15" fillId="20" borderId="18" xfId="3" applyFont="1" applyFill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10" fillId="13" borderId="11" xfId="0" applyFont="1" applyFill="1" applyBorder="1" applyAlignment="1">
      <alignment horizontal="center"/>
    </xf>
    <xf numFmtId="0" fontId="10" fillId="13" borderId="13" xfId="0" applyFont="1" applyFill="1" applyBorder="1" applyAlignment="1">
      <alignment horizontal="center"/>
    </xf>
    <xf numFmtId="0" fontId="10" fillId="13" borderId="44" xfId="0" applyFont="1" applyFill="1" applyBorder="1" applyAlignment="1">
      <alignment horizontal="center"/>
    </xf>
    <xf numFmtId="0" fontId="10" fillId="13" borderId="45" xfId="0" applyFont="1" applyFill="1" applyBorder="1" applyAlignment="1">
      <alignment horizontal="center"/>
    </xf>
    <xf numFmtId="0" fontId="10" fillId="13" borderId="46" xfId="0" applyFont="1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61" xfId="0" applyBorder="1" applyAlignment="1">
      <alignment horizontal="center"/>
    </xf>
    <xf numFmtId="0" fontId="14" fillId="0" borderId="0" xfId="3" applyFont="1" applyAlignment="1">
      <alignment horizontal="right" vertical="center" wrapText="1" indent="9"/>
    </xf>
    <xf numFmtId="0" fontId="10" fillId="13" borderId="48" xfId="0" applyFont="1" applyFill="1" applyBorder="1" applyAlignment="1">
      <alignment horizontal="center" vertical="center"/>
    </xf>
    <xf numFmtId="0" fontId="10" fillId="13" borderId="49" xfId="0" applyFont="1" applyFill="1" applyBorder="1" applyAlignment="1">
      <alignment horizontal="center" vertical="center"/>
    </xf>
    <xf numFmtId="0" fontId="10" fillId="13" borderId="50" xfId="0" applyFont="1" applyFill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/>
    </xf>
    <xf numFmtId="0" fontId="10" fillId="13" borderId="3" xfId="0" applyFont="1" applyFill="1" applyBorder="1" applyAlignment="1">
      <alignment horizontal="center" vertical="center"/>
    </xf>
    <xf numFmtId="0" fontId="10" fillId="13" borderId="10" xfId="0" applyFont="1" applyFill="1" applyBorder="1" applyAlignment="1">
      <alignment horizontal="center" vertical="center"/>
    </xf>
    <xf numFmtId="0" fontId="10" fillId="13" borderId="44" xfId="0" applyFont="1" applyFill="1" applyBorder="1" applyAlignment="1">
      <alignment horizontal="center" vertical="center"/>
    </xf>
    <xf numFmtId="0" fontId="10" fillId="13" borderId="45" xfId="0" applyFont="1" applyFill="1" applyBorder="1" applyAlignment="1">
      <alignment horizontal="center" vertical="center"/>
    </xf>
    <xf numFmtId="0" fontId="10" fillId="13" borderId="46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24" xfId="0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3" fillId="8" borderId="22" xfId="0" applyFont="1" applyFill="1" applyBorder="1" applyAlignment="1">
      <alignment horizontal="center"/>
    </xf>
    <xf numFmtId="0" fontId="3" fillId="8" borderId="24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8" borderId="11" xfId="0" applyFont="1" applyFill="1" applyBorder="1" applyAlignment="1">
      <alignment horizontal="center" vertical="center"/>
    </xf>
    <xf numFmtId="0" fontId="3" fillId="8" borderId="12" xfId="0" applyFont="1" applyFill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3" fillId="5" borderId="22" xfId="0" applyFont="1" applyFill="1" applyBorder="1" applyAlignment="1">
      <alignment horizontal="center" vertical="center"/>
    </xf>
    <xf numFmtId="0" fontId="3" fillId="5" borderId="23" xfId="0" applyFont="1" applyFill="1" applyBorder="1" applyAlignment="1">
      <alignment horizontal="center" vertical="center"/>
    </xf>
    <xf numFmtId="10" fontId="8" fillId="0" borderId="30" xfId="1" quotePrefix="1" applyNumberFormat="1" applyFont="1" applyBorder="1" applyAlignment="1" applyProtection="1">
      <alignment horizontal="center"/>
    </xf>
    <xf numFmtId="10" fontId="8" fillId="0" borderId="29" xfId="1" quotePrefix="1" applyNumberFormat="1" applyFont="1" applyBorder="1" applyAlignment="1" applyProtection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7" borderId="22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10" borderId="1" xfId="0" applyFont="1" applyFill="1" applyBorder="1" applyAlignment="1">
      <alignment horizontal="center" vertical="center"/>
    </xf>
    <xf numFmtId="0" fontId="3" fillId="10" borderId="3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/>
    </xf>
    <xf numFmtId="0" fontId="3" fillId="10" borderId="32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3" fillId="0" borderId="3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7" fillId="21" borderId="0" xfId="0" applyFont="1" applyFill="1" applyAlignment="1">
      <alignment horizontal="center" vertical="center"/>
    </xf>
    <xf numFmtId="0" fontId="28" fillId="21" borderId="67" xfId="0" applyFont="1" applyFill="1" applyBorder="1" applyAlignment="1">
      <alignment horizontal="center" vertical="center"/>
    </xf>
    <xf numFmtId="0" fontId="28" fillId="21" borderId="0" xfId="0" applyFont="1" applyFill="1" applyAlignment="1">
      <alignment horizontal="center" vertical="center"/>
    </xf>
    <xf numFmtId="0" fontId="10" fillId="13" borderId="39" xfId="0" applyFont="1" applyFill="1" applyBorder="1" applyAlignment="1">
      <alignment horizontal="center" vertical="center"/>
    </xf>
    <xf numFmtId="0" fontId="10" fillId="13" borderId="40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center" vertical="center"/>
    </xf>
    <xf numFmtId="0" fontId="3" fillId="7" borderId="23" xfId="0" applyFont="1" applyFill="1" applyBorder="1" applyAlignment="1">
      <alignment horizontal="center" vertical="center"/>
    </xf>
    <xf numFmtId="0" fontId="10" fillId="13" borderId="64" xfId="0" applyFont="1" applyFill="1" applyBorder="1" applyAlignment="1">
      <alignment horizontal="center" vertical="center"/>
    </xf>
    <xf numFmtId="0" fontId="10" fillId="13" borderId="0" xfId="0" applyFont="1" applyFill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4" borderId="3" xfId="0" applyFont="1" applyFill="1" applyBorder="1" applyAlignment="1">
      <alignment horizontal="center" vertical="center"/>
    </xf>
    <xf numFmtId="0" fontId="3" fillId="14" borderId="10" xfId="0" applyFont="1" applyFill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</cellXfs>
  <cellStyles count="196">
    <cellStyle name="20% - Ênfase1 2" xfId="8" xr:uid="{3A9F88B1-D3B1-43C9-A31F-F1345DAE279C}"/>
    <cellStyle name="20% - Ênfase1 2 2" xfId="9" xr:uid="{BCBD4AC0-A57B-4BBB-8C7B-F67EF7CD89A3}"/>
    <cellStyle name="20% - Ênfase1 3" xfId="10" xr:uid="{EF43F405-966C-4869-AEE6-F574E81774E5}"/>
    <cellStyle name="20% - Ênfase1 4" xfId="11" xr:uid="{CC487E79-9BB5-4730-8EA3-A502D3202596}"/>
    <cellStyle name="20% - Ênfase1 5" xfId="12" xr:uid="{9DAA9D32-3BFE-4175-ADCB-5B733BF1FA13}"/>
    <cellStyle name="20% - Ênfase1 6" xfId="13" xr:uid="{4ADEE628-85EA-4500-BCEC-60BF47E5F4BA}"/>
    <cellStyle name="20% - Ênfase1 7" xfId="14" xr:uid="{FAFB0DF9-F575-49FB-B058-05B475F82856}"/>
    <cellStyle name="20% - Ênfase2 2" xfId="15" xr:uid="{E555DA05-F224-43A1-8D11-62EAB27D602F}"/>
    <cellStyle name="20% - Ênfase2 2 2" xfId="16" xr:uid="{F73C787F-D63E-44E8-BB10-C6B354322B82}"/>
    <cellStyle name="20% - Ênfase2 3" xfId="17" xr:uid="{BC07F878-E678-4A5A-97E3-A6D55C86592E}"/>
    <cellStyle name="20% - Ênfase2 4" xfId="18" xr:uid="{1EC3992F-DDE4-49A8-9ECC-A294EAC9A334}"/>
    <cellStyle name="20% - Ênfase2 5" xfId="19" xr:uid="{70BB78D8-FD64-4BDB-89FE-9810895CAB78}"/>
    <cellStyle name="20% - Ênfase2 6" xfId="20" xr:uid="{0E14711D-2F27-47AE-BEA3-675BE9E934B6}"/>
    <cellStyle name="20% - Ênfase2 7" xfId="21" xr:uid="{D3BFFB67-7E42-404E-95E0-6E9B6C5B92C8}"/>
    <cellStyle name="20% - Ênfase3 2" xfId="22" xr:uid="{C289C5B6-EC11-4EE1-8A2A-732C11A1A968}"/>
    <cellStyle name="20% - Ênfase3 2 2" xfId="23" xr:uid="{84D3FBD3-3169-45F5-81C1-8AE596D807FD}"/>
    <cellStyle name="20% - Ênfase3 3" xfId="24" xr:uid="{DC87B358-1CB0-4920-A9F2-5B9D3C237856}"/>
    <cellStyle name="20% - Ênfase3 4" xfId="25" xr:uid="{81686CB0-C1FB-4EDD-AEE6-519985944818}"/>
    <cellStyle name="20% - Ênfase3 5" xfId="26" xr:uid="{6F64BA67-C8F2-4E9C-880C-90943BE171C1}"/>
    <cellStyle name="20% - Ênfase3 6" xfId="27" xr:uid="{2741B6AB-11DF-444E-BABF-DB51E65DF350}"/>
    <cellStyle name="20% - Ênfase3 7" xfId="28" xr:uid="{FC21B00B-FACC-4182-B09C-583F419537A3}"/>
    <cellStyle name="20% - Ênfase4 2" xfId="29" xr:uid="{242644E9-BA2F-432D-8D25-715DAC1C7514}"/>
    <cellStyle name="20% - Ênfase4 2 2" xfId="30" xr:uid="{C760D408-FFB2-428B-8B9A-90DA714B9191}"/>
    <cellStyle name="20% - Ênfase4 3" xfId="31" xr:uid="{F68A5F5F-5DC7-4636-A585-7D7EC0CFF2FE}"/>
    <cellStyle name="20% - Ênfase4 4" xfId="32" xr:uid="{9FAB2ACB-176D-436D-9E9D-3D4A8F075435}"/>
    <cellStyle name="20% - Ênfase4 5" xfId="33" xr:uid="{BA80EB77-153D-4FAD-8315-4505B0A34131}"/>
    <cellStyle name="20% - Ênfase4 6" xfId="34" xr:uid="{D25A49D1-FA50-4132-B1F6-0F8CCE3C983B}"/>
    <cellStyle name="20% - Ênfase4 7" xfId="35" xr:uid="{A492C81F-748E-41E4-839B-E509C12FE971}"/>
    <cellStyle name="20% - Ênfase5 2" xfId="36" xr:uid="{9A5F0784-AAB7-4630-B218-DDAC8ACB0AD5}"/>
    <cellStyle name="20% - Ênfase5 2 2" xfId="37" xr:uid="{F1E747ED-3298-48B8-96AF-344DB671C662}"/>
    <cellStyle name="20% - Ênfase5 3" xfId="38" xr:uid="{CD5E5758-D120-40C5-B4F5-2119C9727461}"/>
    <cellStyle name="20% - Ênfase5 4" xfId="39" xr:uid="{157AB5C7-9487-4119-B8E8-592F538CB0E8}"/>
    <cellStyle name="20% - Ênfase5 5" xfId="40" xr:uid="{1A2817D6-2D5B-43FD-838D-444F104B08E9}"/>
    <cellStyle name="20% - Ênfase5 6" xfId="41" xr:uid="{E4E3D91C-521F-41AA-92E1-0FCBDC0F80F2}"/>
    <cellStyle name="20% - Ênfase5 7" xfId="42" xr:uid="{0F6EA503-A0BE-47C5-ABFD-F2E8FCB79852}"/>
    <cellStyle name="20% - Ênfase6 2" xfId="43" xr:uid="{0D58321F-7E75-46F8-BC61-2865771322DF}"/>
    <cellStyle name="20% - Ênfase6 2 2" xfId="44" xr:uid="{766F1350-BD97-4436-B9C8-7AF460C33AB1}"/>
    <cellStyle name="20% - Ênfase6 3" xfId="45" xr:uid="{02C10756-59E9-4426-8993-F432B277D66E}"/>
    <cellStyle name="20% - Ênfase6 4" xfId="46" xr:uid="{E6C0B5ED-342C-4257-AC5B-B97F87955606}"/>
    <cellStyle name="20% - Ênfase6 5" xfId="47" xr:uid="{F06C50D9-A4B7-4F9F-A708-34F3636B10CD}"/>
    <cellStyle name="20% - Ênfase6 6" xfId="48" xr:uid="{4BB17DFE-D3C7-450A-8E2C-01ACB8E4BAA3}"/>
    <cellStyle name="20% - Ênfase6 7" xfId="49" xr:uid="{A98B97D3-6E2B-4A12-A3AC-9A511BB15DBD}"/>
    <cellStyle name="40% - Ênfase1 2" xfId="50" xr:uid="{3B10DD1E-316A-4F02-9CE7-5A5451297900}"/>
    <cellStyle name="40% - Ênfase1 2 2" xfId="51" xr:uid="{1F63505B-0ADF-406C-883F-E642526F773C}"/>
    <cellStyle name="40% - Ênfase1 3" xfId="52" xr:uid="{6A066E85-AB9C-4B2D-A2B6-AC291324BC47}"/>
    <cellStyle name="40% - Ênfase1 4" xfId="53" xr:uid="{B3FCDAC8-BBD6-458B-84D6-230A2D09F2F0}"/>
    <cellStyle name="40% - Ênfase1 5" xfId="54" xr:uid="{79110A1C-6647-4B9E-AD55-208B321CE072}"/>
    <cellStyle name="40% - Ênfase1 6" xfId="55" xr:uid="{B1B62E4C-D7E4-48A0-9CBA-ED3A01EF4133}"/>
    <cellStyle name="40% - Ênfase1 7" xfId="56" xr:uid="{E237AEB0-0C95-4EA2-9A0F-8A118F9B2DEA}"/>
    <cellStyle name="40% - Ênfase2 2" xfId="57" xr:uid="{B6207237-FD55-411C-BCB8-5E5ED033C60C}"/>
    <cellStyle name="40% - Ênfase2 2 2" xfId="58" xr:uid="{B00D70AD-4A16-48F1-96ED-23157872B967}"/>
    <cellStyle name="40% - Ênfase2 3" xfId="59" xr:uid="{AACD5084-0CB8-4C43-93D8-49848CB85E97}"/>
    <cellStyle name="40% - Ênfase2 4" xfId="60" xr:uid="{B694CD4F-DBBC-40E0-9764-D8FE1153BF0B}"/>
    <cellStyle name="40% - Ênfase2 5" xfId="61" xr:uid="{E50F9096-431D-40AF-AE99-BACC155165A5}"/>
    <cellStyle name="40% - Ênfase2 6" xfId="62" xr:uid="{3AE236DC-6C34-4948-8752-5C1ABF0711BE}"/>
    <cellStyle name="40% - Ênfase2 7" xfId="63" xr:uid="{2C16B7AC-AC8E-41A3-814F-7754366C493F}"/>
    <cellStyle name="40% - Ênfase3 2" xfId="64" xr:uid="{60CB5F9E-0328-474D-BC78-5BACC78922DD}"/>
    <cellStyle name="40% - Ênfase3 2 2" xfId="65" xr:uid="{8AD42870-A2FE-485C-AD4F-4521A76AA8DB}"/>
    <cellStyle name="40% - Ênfase3 3" xfId="66" xr:uid="{C8B4F250-16AD-4F5E-BBF6-52B04C68624F}"/>
    <cellStyle name="40% - Ênfase3 4" xfId="67" xr:uid="{39AD6A5F-539D-4637-864F-5069908EA051}"/>
    <cellStyle name="40% - Ênfase3 5" xfId="68" xr:uid="{146CFEB5-158E-4803-97D9-3AAAD5F5968E}"/>
    <cellStyle name="40% - Ênfase3 6" xfId="69" xr:uid="{01D4D5D7-9584-4D96-A648-A7531C269A13}"/>
    <cellStyle name="40% - Ênfase3 7" xfId="70" xr:uid="{21F702B2-A54B-44EA-B1E6-03D3C08444E6}"/>
    <cellStyle name="40% - Ênfase4 2" xfId="71" xr:uid="{0C55175A-0236-4C76-9578-F76F00988F9C}"/>
    <cellStyle name="40% - Ênfase4 2 2" xfId="72" xr:uid="{ED96D340-3762-475B-B613-8ED13B444559}"/>
    <cellStyle name="40% - Ênfase4 3" xfId="73" xr:uid="{A9C1C449-6EDA-47E3-818F-5414B1E469A7}"/>
    <cellStyle name="40% - Ênfase4 4" xfId="74" xr:uid="{396C2041-556D-4A1E-AA27-61A611C0CC6E}"/>
    <cellStyle name="40% - Ênfase4 5" xfId="75" xr:uid="{945CA2E5-F9B0-47CD-A961-E315036F6097}"/>
    <cellStyle name="40% - Ênfase4 6" xfId="76" xr:uid="{099D55DB-A2E4-4E1B-A227-1557276DC14E}"/>
    <cellStyle name="40% - Ênfase4 7" xfId="77" xr:uid="{32E238F1-533A-4518-880B-7671BF47A6E3}"/>
    <cellStyle name="40% - Ênfase5 2" xfId="78" xr:uid="{427FD8A5-0CEC-4D16-9999-9357138D8CBC}"/>
    <cellStyle name="40% - Ênfase5 2 2" xfId="79" xr:uid="{AB3E7777-2580-46D5-AB89-1DB6ECAFA57F}"/>
    <cellStyle name="40% - Ênfase5 3" xfId="80" xr:uid="{92B9F157-1445-4641-8DF8-9EA0ABFDD9B9}"/>
    <cellStyle name="40% - Ênfase5 4" xfId="81" xr:uid="{98B23900-B1DA-4882-816E-6C4346504044}"/>
    <cellStyle name="40% - Ênfase5 5" xfId="82" xr:uid="{B616F39B-D9D2-4628-8B1C-F1706389959B}"/>
    <cellStyle name="40% - Ênfase5 6" xfId="83" xr:uid="{AE835418-82DE-4A0C-BB04-184C8E0FEDBD}"/>
    <cellStyle name="40% - Ênfase5 7" xfId="84" xr:uid="{DA7F3D56-5C64-48BD-9413-91E9637172D4}"/>
    <cellStyle name="40% - Ênfase6 2" xfId="85" xr:uid="{F5E7A06C-3B9E-41C1-AFB0-23CB02929A6A}"/>
    <cellStyle name="40% - Ênfase6 2 2" xfId="86" xr:uid="{92D5F932-D2AA-46C5-8098-F2AFD877C4B9}"/>
    <cellStyle name="40% - Ênfase6 3" xfId="87" xr:uid="{480D11D1-4FC2-438E-8710-2558664278AA}"/>
    <cellStyle name="40% - Ênfase6 4" xfId="88" xr:uid="{C322AC67-7B81-440C-828A-F58794F8F29E}"/>
    <cellStyle name="40% - Ênfase6 5" xfId="89" xr:uid="{4362DB4E-15B5-4C84-AA13-8DCC056AE35D}"/>
    <cellStyle name="40% - Ênfase6 6" xfId="90" xr:uid="{05655F7C-9351-4BDE-B299-1158FC2470FC}"/>
    <cellStyle name="40% - Ênfase6 7" xfId="91" xr:uid="{2E34D7F7-4C8C-4EC4-A1B5-EA0BBA2F062B}"/>
    <cellStyle name="Comma 2" xfId="92" xr:uid="{7932FAA6-0977-4187-A621-AFCF802D58A5}"/>
    <cellStyle name="Estilo 1" xfId="93" xr:uid="{3AE7848C-1055-4E2D-92BC-8C9862FAA016}"/>
    <cellStyle name="Moeda 2" xfId="94" xr:uid="{200A5F3D-CD4A-48B2-B6F7-7254D9061231}"/>
    <cellStyle name="Moeda 2 2" xfId="95" xr:uid="{643E715D-BDE0-4430-BADD-1C28B90AA9AF}"/>
    <cellStyle name="Moeda 2 3" xfId="96" xr:uid="{09084FE7-851F-4D36-8FF1-8FAE16B6FB0F}"/>
    <cellStyle name="Moeda 3" xfId="7" xr:uid="{036DC882-A04F-4411-8451-9A85A2EE62E5}"/>
    <cellStyle name="Normal" xfId="0" builtinId="0"/>
    <cellStyle name="Normal 10" xfId="97" xr:uid="{9ECE4439-311C-4818-8171-720D90AE8B4E}"/>
    <cellStyle name="Normal 10 2" xfId="98" xr:uid="{966E10AB-DBA8-4DE2-B575-3A9F7D0AEFB3}"/>
    <cellStyle name="Normal 11" xfId="99" xr:uid="{1C996530-5F45-4DDA-9BB3-329072F5783C}"/>
    <cellStyle name="Normal 11 2" xfId="100" xr:uid="{943EBA9A-E880-481B-82A8-03020A9654AA}"/>
    <cellStyle name="Normal 11 3" xfId="101" xr:uid="{27EFFFCB-D85C-4A9A-BFAE-51C8B8D9A706}"/>
    <cellStyle name="Normal 12" xfId="102" xr:uid="{2ED5DA91-28B3-48B6-AE85-A76A5C8B39D7}"/>
    <cellStyle name="Normal 12 2" xfId="103" xr:uid="{AF94FCD9-8C22-42A0-9226-46714E674D4F}"/>
    <cellStyle name="Normal 12 3" xfId="104" xr:uid="{5981FD80-B6D4-433A-A20E-64AB38FD12AB}"/>
    <cellStyle name="Normal 13" xfId="105" xr:uid="{1EFDFF57-B880-4ACD-B5BE-FA90B75E187F}"/>
    <cellStyle name="Normal 13 2" xfId="106" xr:uid="{A28E5D79-54DC-4C5D-8948-3063847510FA}"/>
    <cellStyle name="Normal 13 3" xfId="107" xr:uid="{827AB4FA-9082-4508-BDCA-BE25830F3B7D}"/>
    <cellStyle name="Normal 14" xfId="108" xr:uid="{599A682E-6248-4F4F-96EA-1C08FB2A93F8}"/>
    <cellStyle name="Normal 14 2" xfId="109" xr:uid="{52F8BE01-4F0E-4E38-ADA2-12ADF6370FB3}"/>
    <cellStyle name="Normal 15" xfId="110" xr:uid="{0DE5ABA9-A0EB-460F-96C9-5E2550742222}"/>
    <cellStyle name="Normal 16" xfId="111" xr:uid="{4D7D2A71-DE6E-4B35-9A1C-34037AF8EB58}"/>
    <cellStyle name="Normal 17" xfId="112" xr:uid="{A1887722-4856-491B-A79A-4D24362B5B26}"/>
    <cellStyle name="Normal 18" xfId="113" xr:uid="{B574AC86-F34B-45EA-925F-AC3AE16F1121}"/>
    <cellStyle name="Normal 19" xfId="114" xr:uid="{3D7A7F3F-82CE-48D3-8C6A-DC066B1AACC4}"/>
    <cellStyle name="Normal 2" xfId="3" xr:uid="{1481DD75-A057-462B-980F-9B9C13EEFBBF}"/>
    <cellStyle name="Normal 2 2" xfId="116" xr:uid="{5CFE8ACC-27EF-476B-B8DB-9D0BE9E960D5}"/>
    <cellStyle name="Normal 2 3" xfId="117" xr:uid="{52D2ACA4-485A-4DF4-BA6C-A22402C83F6C}"/>
    <cellStyle name="Normal 2 4" xfId="118" xr:uid="{FC49C25B-F006-467A-8E77-36AF053E44E2}"/>
    <cellStyle name="Normal 2 5" xfId="115" xr:uid="{19B73DE9-8FC9-4178-8FD4-DE986E974F38}"/>
    <cellStyle name="Normal 20" xfId="119" xr:uid="{CB0F6FB8-810C-45FA-B376-78A03AB34F31}"/>
    <cellStyle name="Normal 20 2" xfId="120" xr:uid="{FF8F1395-F49D-4527-A0A0-AFA2CD0544D0}"/>
    <cellStyle name="Normal 20 3" xfId="121" xr:uid="{4F7DEFDB-536D-42E5-B348-17847D8B21D8}"/>
    <cellStyle name="Normal 20 3 2" xfId="122" xr:uid="{076BB50A-1473-4275-910B-0C35EDB048B0}"/>
    <cellStyle name="Normal 3" xfId="123" xr:uid="{60052643-6FD0-4A92-97F3-BAA139690BA4}"/>
    <cellStyle name="Normal 3 2" xfId="124" xr:uid="{E88FF622-DCE9-40B4-B79C-82C9BEC8D469}"/>
    <cellStyle name="Normal 3 2 2" xfId="125" xr:uid="{E83FC982-9DD3-47EB-8F3C-3A87250D2F93}"/>
    <cellStyle name="Normal 3 3" xfId="126" xr:uid="{53AACC2F-E803-4678-B2E4-10CD3836687E}"/>
    <cellStyle name="Normal 4" xfId="127" xr:uid="{9618579A-2BA1-499C-B7CF-A7AF3E4A2398}"/>
    <cellStyle name="Normal 4 2" xfId="128" xr:uid="{EF087FAE-CCDB-4283-BD26-2EEA8CB4E4CA}"/>
    <cellStyle name="Normal 5" xfId="129" xr:uid="{223F47F7-1C70-44CD-A5F9-6013A6267B05}"/>
    <cellStyle name="Normal 5 2" xfId="130" xr:uid="{A8E17614-3CFB-460E-B65A-6E9DE57C4338}"/>
    <cellStyle name="Normal 5 3" xfId="131" xr:uid="{23E5CB25-DF0B-4F43-8E9D-4D2F9543610C}"/>
    <cellStyle name="Normal 6" xfId="132" xr:uid="{9E1C0D33-FB3B-41CA-A883-8F68C29D6981}"/>
    <cellStyle name="Normal 6 2" xfId="133" xr:uid="{9CC7F498-CBDD-4203-8760-CD295E7E7D50}"/>
    <cellStyle name="Normal 7" xfId="134" xr:uid="{E13D6B84-F19F-4E99-8432-76AED7F91B57}"/>
    <cellStyle name="Normal 7 2" xfId="135" xr:uid="{4A25CB0C-FB5A-4762-A673-4636DA285469}"/>
    <cellStyle name="Normal 7 3" xfId="136" xr:uid="{1BC3C835-96B1-410D-993C-B2A22A6C3615}"/>
    <cellStyle name="Normal 8" xfId="137" xr:uid="{5CDD5CE7-7E89-4917-A43F-5C659290769C}"/>
    <cellStyle name="Normal 8 2" xfId="138" xr:uid="{9B2516F7-EC31-476E-A9F1-5E25AC424F35}"/>
    <cellStyle name="Normal 8 2 2" xfId="139" xr:uid="{F2D21D5F-F74E-4BDB-9712-878B78B4C05B}"/>
    <cellStyle name="Normal 9" xfId="140" xr:uid="{86EAB394-8B11-431F-AAC2-60AF80D27D8B}"/>
    <cellStyle name="Normal 9 2" xfId="141" xr:uid="{662FAEDD-84AB-4C94-B685-69B0E0F8FA5E}"/>
    <cellStyle name="Nota 2" xfId="142" xr:uid="{7156B85C-5661-43DA-A02E-91F5379484E4}"/>
    <cellStyle name="Nota 2 2" xfId="143" xr:uid="{02CAF43E-447D-456B-B439-C68D65E175C7}"/>
    <cellStyle name="Nota 3" xfId="144" xr:uid="{1BECA9DD-021C-4EC3-9C5E-0C86299D4960}"/>
    <cellStyle name="Nota 4" xfId="145" xr:uid="{6ADF7D73-B03D-4D15-86A0-AEEB6BE0BF90}"/>
    <cellStyle name="Nota 5" xfId="146" xr:uid="{8E79001E-4D09-48FD-B181-A955A7F5F99C}"/>
    <cellStyle name="Nota 6" xfId="147" xr:uid="{750900A9-451D-47EA-9AF8-54F59337F691}"/>
    <cellStyle name="Nota 7" xfId="148" xr:uid="{D38D6785-72C3-4CE1-B5C5-BC25592C4378}"/>
    <cellStyle name="Percent 2" xfId="149" xr:uid="{2FF19FAC-0C37-49B0-8454-07D250055298}"/>
    <cellStyle name="Porcentagem" xfId="1" builtinId="5"/>
    <cellStyle name="Porcentagem 10" xfId="150" xr:uid="{75E32761-B3A0-45BC-B65A-71C1D2EF7CD8}"/>
    <cellStyle name="Porcentagem 11" xfId="151" xr:uid="{3629F9C3-A9F8-4FFA-98EF-5BAD6B0D81B1}"/>
    <cellStyle name="Porcentagem 12" xfId="152" xr:uid="{92A6E6C3-DB3B-432C-A808-70F226DD866F}"/>
    <cellStyle name="Porcentagem 2" xfId="4" xr:uid="{CA2F73C4-2B21-4FBF-8899-F58C9F8B0129}"/>
    <cellStyle name="Porcentagem 2 2" xfId="153" xr:uid="{4486ADAE-3235-4934-8986-3C8EC97118BB}"/>
    <cellStyle name="Porcentagem 2 3" xfId="154" xr:uid="{E46D7490-F744-413E-9A0C-C3A1CBFF82D5}"/>
    <cellStyle name="Porcentagem 2 4" xfId="155" xr:uid="{7DA17080-517B-4C7E-8A42-F402902A0D8B}"/>
    <cellStyle name="Porcentagem 4" xfId="156" xr:uid="{F037D4FF-1717-42BA-BC75-7A7CD7973B32}"/>
    <cellStyle name="Porcentagem 8" xfId="157" xr:uid="{E2D0E38F-1ABC-4871-9908-15BA8F3C5CC3}"/>
    <cellStyle name="Porcentagem 9" xfId="158" xr:uid="{6AC92AB0-4BBB-40A5-A4D0-86A966C84680}"/>
    <cellStyle name="Separador de milhares 10" xfId="159" xr:uid="{8304B77B-1A8E-4304-AB5F-36DD7EA959C6}"/>
    <cellStyle name="Separador de milhares 11" xfId="160" xr:uid="{AB195ED9-4EC1-4E98-820E-9822BB485067}"/>
    <cellStyle name="Separador de milhares 12" xfId="161" xr:uid="{CC5AF308-43E9-47B9-9B8D-CBA44965DB10}"/>
    <cellStyle name="Separador de milhares 2" xfId="162" xr:uid="{3B8AEF8F-6C9D-42CA-B14A-DA4E3B014A8E}"/>
    <cellStyle name="Separador de milhares 2 10" xfId="163" xr:uid="{8070BC6F-F7A0-4B9B-9C26-DD7790A5D9EF}"/>
    <cellStyle name="Separador de milhares 2 11" xfId="164" xr:uid="{77729350-7913-4FA1-87AD-C567CE366EF9}"/>
    <cellStyle name="Separador de milhares 2 12" xfId="165" xr:uid="{83AED2E5-4A98-458F-966F-511D38894802}"/>
    <cellStyle name="Separador de milhares 2 13" xfId="166" xr:uid="{F83FC1DF-69A7-49F1-A77A-4EC14FD48BB6}"/>
    <cellStyle name="Separador de milhares 2 14" xfId="167" xr:uid="{0F7AAA6D-0538-4E15-8806-3EE8D3203CA5}"/>
    <cellStyle name="Separador de milhares 2 2" xfId="168" xr:uid="{0876663A-F33B-4317-ABB9-2DC3ABC4B840}"/>
    <cellStyle name="Separador de milhares 2 2 2" xfId="169" xr:uid="{8D0EE64E-E85A-483E-B302-9C3A82BE7D25}"/>
    <cellStyle name="Separador de milhares 2 3" xfId="170" xr:uid="{142A1CF0-406A-48CB-808A-E8E038C211C7}"/>
    <cellStyle name="Separador de milhares 2 3 2" xfId="171" xr:uid="{8BC346C1-AEE7-408B-8F90-3157DA558495}"/>
    <cellStyle name="Separador de milhares 2 4" xfId="172" xr:uid="{FC8542C7-AC36-4FAA-894C-CE6B6E4BFF3C}"/>
    <cellStyle name="Separador de milhares 2 5" xfId="173" xr:uid="{3C3C7770-BDF6-4703-9103-E231101331E6}"/>
    <cellStyle name="Separador de milhares 2 6" xfId="174" xr:uid="{0D8658E0-BC49-491E-8D68-7A54686D47CB}"/>
    <cellStyle name="Separador de milhares 2 7" xfId="175" xr:uid="{5C5E122B-340A-4D09-B566-003A24B4DC86}"/>
    <cellStyle name="Separador de milhares 2 8" xfId="176" xr:uid="{FBB0C699-C763-46A2-B2BC-94EFAD8A87EC}"/>
    <cellStyle name="Separador de milhares 2 9" xfId="177" xr:uid="{9DD8D841-73A6-49C6-BA79-7BFA3F5FB4C7}"/>
    <cellStyle name="Separador de milhares 3" xfId="178" xr:uid="{6571D1F6-69A5-4CA0-A3CF-224FFDC7F313}"/>
    <cellStyle name="Separador de milhares 3 2" xfId="179" xr:uid="{AA1D2209-E6B9-4E80-8C2A-171A6EDD3783}"/>
    <cellStyle name="Separador de milhares 3 3" xfId="180" xr:uid="{D230D7A3-61AC-4377-8A0A-04038C89726C}"/>
    <cellStyle name="Separador de milhares 3 4" xfId="181" xr:uid="{496996B7-6C44-45FF-96EB-04DF004D2DCE}"/>
    <cellStyle name="Separador de milhares 4" xfId="182" xr:uid="{729218E1-1D84-4240-9D7F-859C3E123B9D}"/>
    <cellStyle name="Separador de milhares 4 2" xfId="183" xr:uid="{A2F1E4D2-4FC5-40E0-8534-6C6792DC0399}"/>
    <cellStyle name="Separador de milhares 4 3" xfId="184" xr:uid="{C39D41D9-D709-46BB-8BE5-E8A95BD1AEAC}"/>
    <cellStyle name="Separador de milhares 4 4" xfId="185" xr:uid="{809959F9-CCA6-46E1-A639-E5494C5E1807}"/>
    <cellStyle name="Separador de milhares 8" xfId="186" xr:uid="{BAB92D7E-C652-4C46-960D-4FE303C78303}"/>
    <cellStyle name="Separador de milhares 9" xfId="187" xr:uid="{A3360335-1D78-4446-8937-F948EFB91A8A}"/>
    <cellStyle name="ValorDaTabela" xfId="5" xr:uid="{E73689DB-7FF9-4AC4-9B5E-3202F67E06C1}"/>
    <cellStyle name="Vírgula" xfId="2" builtinId="3"/>
    <cellStyle name="Vírgula 2" xfId="188" xr:uid="{F6574465-A465-461A-AB94-043D27D897C5}"/>
    <cellStyle name="Vírgula 2 2" xfId="189" xr:uid="{20F469A9-563B-4EDF-A43F-F1F197B2D676}"/>
    <cellStyle name="Vírgula 3" xfId="190" xr:uid="{B6133E7A-AAC4-4D8E-95B1-666D76075FB6}"/>
    <cellStyle name="Vírgula 3 2" xfId="191" xr:uid="{0A43784F-D2AC-4ECD-9AF5-0A102643D94C}"/>
    <cellStyle name="Vírgula 4" xfId="192" xr:uid="{27479486-CF47-477B-8550-18D923988116}"/>
    <cellStyle name="Vírgula 4 2" xfId="193" xr:uid="{58CC7843-B878-4038-94F6-15C9814386C1}"/>
    <cellStyle name="Vírgula 5" xfId="194" xr:uid="{8DE86F28-A5B7-4F49-8F08-F3BBB28DB3A6}"/>
    <cellStyle name="Vírgula 6" xfId="195" xr:uid="{2F08BA82-83DE-44A1-AB59-089F18F977BB}"/>
    <cellStyle name="Vírgula 7" xfId="6" xr:uid="{E7F13866-18B8-46C1-856C-6A633A2696C6}"/>
  </cellStyles>
  <dxfs count="16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FFFF99"/>
      <color rgb="FFFFFF66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222250</xdr:colOff>
          <xdr:row>3</xdr:row>
          <xdr:rowOff>69850</xdr:rowOff>
        </xdr:from>
        <xdr:to>
          <xdr:col>11</xdr:col>
          <xdr:colOff>31750</xdr:colOff>
          <xdr:row>4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EXPORTAR P/ MYLIMS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215900</xdr:colOff>
          <xdr:row>3</xdr:row>
          <xdr:rowOff>69850</xdr:rowOff>
        </xdr:from>
        <xdr:to>
          <xdr:col>21</xdr:col>
          <xdr:colOff>69850</xdr:colOff>
          <xdr:row>4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EXPORTAR P/ MYLIMS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1</xdr:row>
      <xdr:rowOff>31750</xdr:rowOff>
    </xdr:from>
    <xdr:to>
      <xdr:col>1</xdr:col>
      <xdr:colOff>202095</xdr:colOff>
      <xdr:row>2</xdr:row>
      <xdr:rowOff>120649</xdr:rowOff>
    </xdr:to>
    <xdr:sp macro="[0]!btAnterior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800" y="31750"/>
          <a:ext cx="476250" cy="27304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&lt;</a:t>
          </a:r>
        </a:p>
      </xdr:txBody>
    </xdr:sp>
    <xdr:clientData/>
  </xdr:twoCellAnchor>
  <xdr:twoCellAnchor editAs="absolute">
    <xdr:from>
      <xdr:col>1</xdr:col>
      <xdr:colOff>285197</xdr:colOff>
      <xdr:row>1</xdr:row>
      <xdr:rowOff>31750</xdr:rowOff>
    </xdr:from>
    <xdr:to>
      <xdr:col>2</xdr:col>
      <xdr:colOff>435665</xdr:colOff>
      <xdr:row>2</xdr:row>
      <xdr:rowOff>120649</xdr:rowOff>
    </xdr:to>
    <xdr:sp macro="[0]!btProximo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09600" y="31750"/>
          <a:ext cx="476250" cy="27304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2</xdr:row>
          <xdr:rowOff>120650</xdr:rowOff>
        </xdr:from>
        <xdr:to>
          <xdr:col>11</xdr:col>
          <xdr:colOff>6350</xdr:colOff>
          <xdr:row>3</xdr:row>
          <xdr:rowOff>120650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EXPORTAR P/ MYLIMS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55220</xdr:colOff>
      <xdr:row>1</xdr:row>
      <xdr:rowOff>38653</xdr:rowOff>
    </xdr:from>
    <xdr:to>
      <xdr:col>1</xdr:col>
      <xdr:colOff>205687</xdr:colOff>
      <xdr:row>2</xdr:row>
      <xdr:rowOff>129485</xdr:rowOff>
    </xdr:to>
    <xdr:sp macro="[0]!btAnterior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5220" y="38653"/>
          <a:ext cx="476250" cy="27304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&lt;</a:t>
          </a:r>
        </a:p>
      </xdr:txBody>
    </xdr:sp>
    <xdr:clientData/>
  </xdr:twoCellAnchor>
  <xdr:twoCellAnchor editAs="absolute">
    <xdr:from>
      <xdr:col>1</xdr:col>
      <xdr:colOff>288237</xdr:colOff>
      <xdr:row>1</xdr:row>
      <xdr:rowOff>38653</xdr:rowOff>
    </xdr:from>
    <xdr:to>
      <xdr:col>2</xdr:col>
      <xdr:colOff>438705</xdr:colOff>
      <xdr:row>2</xdr:row>
      <xdr:rowOff>129485</xdr:rowOff>
    </xdr:to>
    <xdr:sp macro="[0]!btProximo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14020" y="38653"/>
          <a:ext cx="476250" cy="27304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2</xdr:row>
          <xdr:rowOff>107950</xdr:rowOff>
        </xdr:from>
        <xdr:to>
          <xdr:col>11</xdr:col>
          <xdr:colOff>6350</xdr:colOff>
          <xdr:row>3</xdr:row>
          <xdr:rowOff>107950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EXPORTAR P/ MYLIMS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43965</xdr:colOff>
      <xdr:row>1</xdr:row>
      <xdr:rowOff>29310</xdr:rowOff>
    </xdr:from>
    <xdr:to>
      <xdr:col>1</xdr:col>
      <xdr:colOff>197830</xdr:colOff>
      <xdr:row>2</xdr:row>
      <xdr:rowOff>116744</xdr:rowOff>
    </xdr:to>
    <xdr:sp macro="[0]!btAnterior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3965" y="29310"/>
          <a:ext cx="476250" cy="27304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&lt;</a:t>
          </a:r>
        </a:p>
      </xdr:txBody>
    </xdr:sp>
    <xdr:clientData/>
  </xdr:twoCellAnchor>
  <xdr:twoCellAnchor editAs="absolute">
    <xdr:from>
      <xdr:col>1</xdr:col>
      <xdr:colOff>280380</xdr:colOff>
      <xdr:row>1</xdr:row>
      <xdr:rowOff>29310</xdr:rowOff>
    </xdr:from>
    <xdr:to>
      <xdr:col>2</xdr:col>
      <xdr:colOff>434246</xdr:colOff>
      <xdr:row>2</xdr:row>
      <xdr:rowOff>116744</xdr:rowOff>
    </xdr:to>
    <xdr:sp macro="[0]!btProximo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02765" y="29310"/>
          <a:ext cx="476250" cy="27304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&gt;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49698</xdr:colOff>
      <xdr:row>1</xdr:row>
      <xdr:rowOff>38653</xdr:rowOff>
    </xdr:from>
    <xdr:to>
      <xdr:col>1</xdr:col>
      <xdr:colOff>200165</xdr:colOff>
      <xdr:row>2</xdr:row>
      <xdr:rowOff>129485</xdr:rowOff>
    </xdr:to>
    <xdr:sp macro="[0]!btAnterior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9698" y="38653"/>
          <a:ext cx="476250" cy="27304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&lt;</a:t>
          </a:r>
        </a:p>
      </xdr:txBody>
    </xdr:sp>
    <xdr:clientData/>
  </xdr:twoCellAnchor>
  <xdr:twoCellAnchor editAs="absolute">
    <xdr:from>
      <xdr:col>1</xdr:col>
      <xdr:colOff>282715</xdr:colOff>
      <xdr:row>1</xdr:row>
      <xdr:rowOff>38653</xdr:rowOff>
    </xdr:from>
    <xdr:to>
      <xdr:col>2</xdr:col>
      <xdr:colOff>433183</xdr:colOff>
      <xdr:row>2</xdr:row>
      <xdr:rowOff>129485</xdr:rowOff>
    </xdr:to>
    <xdr:sp macro="[0]!btProximo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08498" y="38653"/>
          <a:ext cx="476250" cy="27304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2</xdr:row>
          <xdr:rowOff>120650</xdr:rowOff>
        </xdr:from>
        <xdr:to>
          <xdr:col>9</xdr:col>
          <xdr:colOff>673100</xdr:colOff>
          <xdr:row>3</xdr:row>
          <xdr:rowOff>146050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EXPORTAR P/ MYLIMS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368300</xdr:colOff>
          <xdr:row>2</xdr:row>
          <xdr:rowOff>107950</xdr:rowOff>
        </xdr:from>
        <xdr:to>
          <xdr:col>16</xdr:col>
          <xdr:colOff>12700</xdr:colOff>
          <xdr:row>3</xdr:row>
          <xdr:rowOff>133350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EXPORTAR P/ MYLIMS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1</xdr:row>
      <xdr:rowOff>31750</xdr:rowOff>
    </xdr:from>
    <xdr:to>
      <xdr:col>1</xdr:col>
      <xdr:colOff>203200</xdr:colOff>
      <xdr:row>2</xdr:row>
      <xdr:rowOff>120649</xdr:rowOff>
    </xdr:to>
    <xdr:sp macro="[0]!btAnterior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0800" y="31750"/>
          <a:ext cx="476250" cy="27304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&lt;</a:t>
          </a:r>
        </a:p>
      </xdr:txBody>
    </xdr:sp>
    <xdr:clientData/>
  </xdr:twoCellAnchor>
  <xdr:twoCellAnchor editAs="absolute">
    <xdr:from>
      <xdr:col>1</xdr:col>
      <xdr:colOff>285750</xdr:colOff>
      <xdr:row>1</xdr:row>
      <xdr:rowOff>31750</xdr:rowOff>
    </xdr:from>
    <xdr:to>
      <xdr:col>2</xdr:col>
      <xdr:colOff>438150</xdr:colOff>
      <xdr:row>2</xdr:row>
      <xdr:rowOff>120649</xdr:rowOff>
    </xdr:to>
    <xdr:sp macro="[0]!btProximo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09600" y="31750"/>
          <a:ext cx="476250" cy="27304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&gt;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336550</xdr:colOff>
          <xdr:row>2</xdr:row>
          <xdr:rowOff>107950</xdr:rowOff>
        </xdr:from>
        <xdr:to>
          <xdr:col>11</xdr:col>
          <xdr:colOff>6350</xdr:colOff>
          <xdr:row>3</xdr:row>
          <xdr:rowOff>127000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EXPORTAR P/ MYLIMS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38654</xdr:colOff>
      <xdr:row>1</xdr:row>
      <xdr:rowOff>27610</xdr:rowOff>
    </xdr:from>
    <xdr:to>
      <xdr:col>1</xdr:col>
      <xdr:colOff>189121</xdr:colOff>
      <xdr:row>2</xdr:row>
      <xdr:rowOff>118442</xdr:rowOff>
    </xdr:to>
    <xdr:sp macro="[0]!btAnterior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8654" y="27610"/>
          <a:ext cx="476250" cy="27304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&lt;</a:t>
          </a:r>
        </a:p>
      </xdr:txBody>
    </xdr:sp>
    <xdr:clientData/>
  </xdr:twoCellAnchor>
  <xdr:twoCellAnchor editAs="absolute">
    <xdr:from>
      <xdr:col>1</xdr:col>
      <xdr:colOff>271671</xdr:colOff>
      <xdr:row>1</xdr:row>
      <xdr:rowOff>27610</xdr:rowOff>
    </xdr:from>
    <xdr:to>
      <xdr:col>2</xdr:col>
      <xdr:colOff>422139</xdr:colOff>
      <xdr:row>2</xdr:row>
      <xdr:rowOff>118442</xdr:rowOff>
    </xdr:to>
    <xdr:sp macro="[0]!btProximo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597454" y="27610"/>
          <a:ext cx="476250" cy="27304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&gt;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57150</xdr:rowOff>
        </xdr:from>
        <xdr:to>
          <xdr:col>8</xdr:col>
          <xdr:colOff>1003300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EXPORTAR P MYLIMS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41138</xdr:colOff>
      <xdr:row>0</xdr:row>
      <xdr:rowOff>35616</xdr:rowOff>
    </xdr:from>
    <xdr:to>
      <xdr:col>0</xdr:col>
      <xdr:colOff>517388</xdr:colOff>
      <xdr:row>1</xdr:row>
      <xdr:rowOff>149915</xdr:rowOff>
    </xdr:to>
    <xdr:sp macro="[0]!btAnterior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1138" y="35616"/>
          <a:ext cx="476250" cy="27442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&lt;</a:t>
          </a:r>
        </a:p>
      </xdr:txBody>
    </xdr:sp>
    <xdr:clientData/>
  </xdr:twoCellAnchor>
  <xdr:twoCellAnchor editAs="absolute">
    <xdr:from>
      <xdr:col>0</xdr:col>
      <xdr:colOff>599938</xdr:colOff>
      <xdr:row>0</xdr:row>
      <xdr:rowOff>35616</xdr:rowOff>
    </xdr:from>
    <xdr:to>
      <xdr:col>1</xdr:col>
      <xdr:colOff>434838</xdr:colOff>
      <xdr:row>1</xdr:row>
      <xdr:rowOff>149915</xdr:rowOff>
    </xdr:to>
    <xdr:sp macro="[0]!btProximo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599938" y="35616"/>
          <a:ext cx="475422" cy="27442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&gt;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44450</xdr:rowOff>
        </xdr:from>
        <xdr:to>
          <xdr:col>4</xdr:col>
          <xdr:colOff>1002994</xdr:colOff>
          <xdr:row>3</xdr:row>
          <xdr:rowOff>107950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7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EXPORTAR P MYLIMS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76200</xdr:rowOff>
        </xdr:from>
        <xdr:to>
          <xdr:col>5</xdr:col>
          <xdr:colOff>5522</xdr:colOff>
          <xdr:row>1</xdr:row>
          <xdr:rowOff>336550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7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SELECIONAR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120651</xdr:colOff>
      <xdr:row>0</xdr:row>
      <xdr:rowOff>63501</xdr:rowOff>
    </xdr:from>
    <xdr:to>
      <xdr:col>3</xdr:col>
      <xdr:colOff>292101</xdr:colOff>
      <xdr:row>0</xdr:row>
      <xdr:rowOff>336550</xdr:rowOff>
    </xdr:to>
    <xdr:sp macro="[0]!btAnterior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20651" y="63501"/>
          <a:ext cx="476250" cy="27304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&lt;</a:t>
          </a:r>
        </a:p>
      </xdr:txBody>
    </xdr:sp>
    <xdr:clientData/>
  </xdr:twoCellAnchor>
  <xdr:twoCellAnchor editAs="absolute">
    <xdr:from>
      <xdr:col>3</xdr:col>
      <xdr:colOff>374651</xdr:colOff>
      <xdr:row>0</xdr:row>
      <xdr:rowOff>63501</xdr:rowOff>
    </xdr:from>
    <xdr:to>
      <xdr:col>4</xdr:col>
      <xdr:colOff>293206</xdr:colOff>
      <xdr:row>0</xdr:row>
      <xdr:rowOff>336550</xdr:rowOff>
    </xdr:to>
    <xdr:sp macro="[0]!btProximo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679451" y="63501"/>
          <a:ext cx="476250" cy="27304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&gt;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44450</xdr:colOff>
      <xdr:row>0</xdr:row>
      <xdr:rowOff>31750</xdr:rowOff>
    </xdr:from>
    <xdr:to>
      <xdr:col>0</xdr:col>
      <xdr:colOff>520700</xdr:colOff>
      <xdr:row>0</xdr:row>
      <xdr:rowOff>304799</xdr:rowOff>
    </xdr:to>
    <xdr:sp macro="[0]!btAnterior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4450" y="31750"/>
          <a:ext cx="476250" cy="27304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&lt;</a:t>
          </a:r>
        </a:p>
      </xdr:txBody>
    </xdr:sp>
    <xdr:clientData/>
  </xdr:twoCellAnchor>
  <xdr:twoCellAnchor editAs="absolute">
    <xdr:from>
      <xdr:col>0</xdr:col>
      <xdr:colOff>603250</xdr:colOff>
      <xdr:row>0</xdr:row>
      <xdr:rowOff>31750</xdr:rowOff>
    </xdr:from>
    <xdr:to>
      <xdr:col>1</xdr:col>
      <xdr:colOff>469900</xdr:colOff>
      <xdr:row>0</xdr:row>
      <xdr:rowOff>304799</xdr:rowOff>
    </xdr:to>
    <xdr:sp macro="[0]!btProximo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603250" y="31750"/>
          <a:ext cx="476250" cy="27304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736600</xdr:colOff>
          <xdr:row>0</xdr:row>
          <xdr:rowOff>107950</xdr:rowOff>
        </xdr:from>
        <xdr:to>
          <xdr:col>4</xdr:col>
          <xdr:colOff>679450</xdr:colOff>
          <xdr:row>0</xdr:row>
          <xdr:rowOff>323850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EXPORTAR P MYLIMS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50800</xdr:rowOff>
    </xdr:from>
    <xdr:to>
      <xdr:col>0</xdr:col>
      <xdr:colOff>533400</xdr:colOff>
      <xdr:row>1</xdr:row>
      <xdr:rowOff>139699</xdr:rowOff>
    </xdr:to>
    <xdr:sp macro="[0]!btAnterior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57150" y="50800"/>
          <a:ext cx="476250" cy="27304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&lt;</a:t>
          </a:r>
        </a:p>
      </xdr:txBody>
    </xdr:sp>
    <xdr:clientData/>
  </xdr:twoCellAnchor>
  <xdr:twoCellAnchor editAs="absolute">
    <xdr:from>
      <xdr:col>1</xdr:col>
      <xdr:colOff>6350</xdr:colOff>
      <xdr:row>0</xdr:row>
      <xdr:rowOff>50800</xdr:rowOff>
    </xdr:from>
    <xdr:to>
      <xdr:col>1</xdr:col>
      <xdr:colOff>482600</xdr:colOff>
      <xdr:row>1</xdr:row>
      <xdr:rowOff>139699</xdr:rowOff>
    </xdr:to>
    <xdr:sp macro="[0]!btProximo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615950" y="50800"/>
          <a:ext cx="476250" cy="273049"/>
        </a:xfrm>
        <a:prstGeom prst="rect">
          <a:avLst/>
        </a:prstGeom>
        <a:solidFill>
          <a:srgbClr val="0070C0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Century Gothic" panose="020B0502020202020204" pitchFamily="34" charset="0"/>
            </a:rPr>
            <a:t>&gt;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927100</xdr:colOff>
          <xdr:row>0</xdr:row>
          <xdr:rowOff>50800</xdr:rowOff>
        </xdr:from>
        <xdr:to>
          <xdr:col>14</xdr:col>
          <xdr:colOff>381000</xdr:colOff>
          <xdr:row>1</xdr:row>
          <xdr:rowOff>107950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A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EXPORTAR P MYLIMS -&gt;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2</xdr:row>
          <xdr:rowOff>6350</xdr:rowOff>
        </xdr:from>
        <xdr:to>
          <xdr:col>5</xdr:col>
          <xdr:colOff>12700</xdr:colOff>
          <xdr:row>3</xdr:row>
          <xdr:rowOff>95250</xdr:rowOff>
        </xdr:to>
        <xdr:sp macro="" textlink="">
          <xdr:nvSpPr>
            <xdr:cNvPr id="30729" name="Button 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B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BUSCAR FÓRMULA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4553D-5C08-4F4E-B061-D591AA3CE969}">
  <sheetPr codeName="Planilha1"/>
  <dimension ref="A1:AC47"/>
  <sheetViews>
    <sheetView showGridLines="0" topLeftCell="A2" zoomScale="115" zoomScaleNormal="115" workbookViewId="0">
      <selection activeCell="F6" sqref="F6"/>
    </sheetView>
  </sheetViews>
  <sheetFormatPr defaultRowHeight="14.5"/>
  <cols>
    <col min="1" max="1" width="4.6328125" customWidth="1"/>
    <col min="2" max="2" width="4.6328125" style="115" customWidth="1"/>
    <col min="3" max="3" width="9.54296875" style="115" bestFit="1" customWidth="1"/>
    <col min="4" max="7" width="8" style="115" customWidth="1"/>
    <col min="9" max="9" width="3.54296875" customWidth="1"/>
    <col min="10" max="10" width="9.08984375" bestFit="1" customWidth="1"/>
    <col min="11" max="11" width="10.26953125" customWidth="1"/>
    <col min="12" max="12" width="4.90625" customWidth="1"/>
    <col min="13" max="13" width="4.1796875" customWidth="1"/>
    <col min="14" max="15" width="7.54296875" customWidth="1"/>
    <col min="18" max="18" width="7.54296875" customWidth="1"/>
    <col min="19" max="19" width="3.26953125" customWidth="1"/>
    <col min="21" max="21" width="10.26953125" customWidth="1"/>
    <col min="29" max="29" width="7.453125" bestFit="1" customWidth="1"/>
  </cols>
  <sheetData>
    <row r="1" spans="2:29" ht="8" hidden="1" customHeight="1">
      <c r="B1"/>
      <c r="C1"/>
      <c r="D1"/>
      <c r="E1"/>
      <c r="F1"/>
      <c r="G1"/>
      <c r="J1" s="115"/>
      <c r="L1" s="263">
        <v>1</v>
      </c>
      <c r="M1" s="263">
        <v>3</v>
      </c>
      <c r="N1" s="191" t="s">
        <v>299</v>
      </c>
    </row>
    <row r="2" spans="2:29">
      <c r="H2" s="332"/>
    </row>
    <row r="3" spans="2:29" ht="15" thickBot="1"/>
    <row r="4" spans="2:29">
      <c r="B4" s="351" t="s">
        <v>181</v>
      </c>
      <c r="C4" s="352"/>
      <c r="D4" s="352"/>
      <c r="E4" s="352"/>
      <c r="F4" s="352"/>
      <c r="G4" s="352"/>
      <c r="H4" s="353"/>
      <c r="M4" s="351" t="s">
        <v>180</v>
      </c>
      <c r="N4" s="352"/>
      <c r="O4" s="352"/>
      <c r="P4" s="352"/>
      <c r="Q4" s="352"/>
      <c r="R4" s="353"/>
    </row>
    <row r="5" spans="2:29" ht="15" thickBot="1">
      <c r="B5" s="129" t="s">
        <v>1</v>
      </c>
      <c r="C5" s="130" t="s">
        <v>8</v>
      </c>
      <c r="D5" s="130" t="s">
        <v>3</v>
      </c>
      <c r="E5" s="130" t="s">
        <v>306</v>
      </c>
      <c r="F5" s="130" t="s">
        <v>305</v>
      </c>
      <c r="G5" s="130" t="s">
        <v>5</v>
      </c>
      <c r="H5" s="131" t="s">
        <v>6</v>
      </c>
      <c r="M5" s="129" t="s">
        <v>1</v>
      </c>
      <c r="N5" s="130" t="s">
        <v>8</v>
      </c>
      <c r="O5" s="130" t="s">
        <v>3</v>
      </c>
      <c r="P5" s="130" t="s">
        <v>305</v>
      </c>
      <c r="Q5" s="130" t="s">
        <v>5</v>
      </c>
      <c r="R5" s="131" t="s">
        <v>6</v>
      </c>
    </row>
    <row r="6" spans="2:29" ht="15" thickBot="1">
      <c r="B6" s="116">
        <v>1</v>
      </c>
      <c r="C6" s="161">
        <v>1.1073</v>
      </c>
      <c r="D6" s="254">
        <v>7.7201000000000004</v>
      </c>
      <c r="E6" s="254">
        <v>5</v>
      </c>
      <c r="F6" s="252">
        <v>2.5600000000000001E-2</v>
      </c>
      <c r="G6" s="252">
        <v>2.8014000000000001</v>
      </c>
      <c r="H6" s="253">
        <f>IFERROR((D6*F6*G6*250)/(C6*E6),"")</f>
        <v>25.000156072609055</v>
      </c>
      <c r="J6" s="141" t="s">
        <v>1</v>
      </c>
      <c r="K6" s="276">
        <v>1</v>
      </c>
      <c r="M6" s="116">
        <v>1</v>
      </c>
      <c r="N6" s="127">
        <v>0.51400000000000001</v>
      </c>
      <c r="O6" s="94">
        <v>8.8238000000000003</v>
      </c>
      <c r="P6" s="122">
        <v>0.49930000000000002</v>
      </c>
      <c r="Q6" s="122">
        <v>1.4</v>
      </c>
      <c r="R6" s="118">
        <f>IFERROR((O6*P6*Q6)/N6,"")</f>
        <v>12.000024661478601</v>
      </c>
      <c r="T6" s="141" t="s">
        <v>1</v>
      </c>
      <c r="U6" s="276">
        <v>1</v>
      </c>
      <c r="AC6" s="129" t="str">
        <f>B5</f>
        <v>Nº</v>
      </c>
    </row>
    <row r="7" spans="2:29" ht="15" thickBot="1">
      <c r="B7" s="132">
        <v>2</v>
      </c>
      <c r="C7" s="133">
        <v>1.1393</v>
      </c>
      <c r="D7" s="134">
        <v>3.9079999999999999</v>
      </c>
      <c r="E7" s="134">
        <v>5</v>
      </c>
      <c r="F7" s="135">
        <v>2.5600000000000001E-2</v>
      </c>
      <c r="G7" s="135">
        <v>2.8014000000000001</v>
      </c>
      <c r="H7" s="181">
        <f t="shared" ref="H7:H20" si="0">IFERROR((D7*F7*G7*250)/(C7*E7),"")</f>
        <v>12.299899180198368</v>
      </c>
      <c r="K7" s="115"/>
      <c r="M7" s="132">
        <v>2</v>
      </c>
      <c r="N7" s="133"/>
      <c r="O7" s="134"/>
      <c r="P7" s="135">
        <v>0.49930000000000002</v>
      </c>
      <c r="Q7" s="135">
        <v>1.4</v>
      </c>
      <c r="R7" s="136" t="str">
        <f t="shared" ref="R7:R20" si="1">IFERROR((O7*P7*Q7)/N7,"")</f>
        <v/>
      </c>
      <c r="U7" s="115"/>
      <c r="AC7" s="130" t="str">
        <f>C5</f>
        <v>Massa</v>
      </c>
    </row>
    <row r="8" spans="2:29">
      <c r="B8" s="116">
        <v>3</v>
      </c>
      <c r="C8" s="161"/>
      <c r="D8" s="254"/>
      <c r="E8" s="254"/>
      <c r="F8" s="252">
        <v>2.5600000000000001E-2</v>
      </c>
      <c r="G8" s="252">
        <v>2.8014000000000001</v>
      </c>
      <c r="H8" s="253" t="str">
        <f t="shared" si="0"/>
        <v/>
      </c>
      <c r="J8" s="130" t="s">
        <v>5</v>
      </c>
      <c r="K8" s="273">
        <f>IFERROR(VLOOKUP($K$6,$B$6:$H$20,MATCH($J8,$B$5:$H$5,0)),"")</f>
        <v>2.8014000000000001</v>
      </c>
      <c r="M8" s="116">
        <v>3</v>
      </c>
      <c r="N8" s="127"/>
      <c r="O8" s="94"/>
      <c r="P8" s="122">
        <v>0.49930000000000002</v>
      </c>
      <c r="Q8" s="122">
        <v>1.4</v>
      </c>
      <c r="R8" s="118" t="str">
        <f t="shared" si="1"/>
        <v/>
      </c>
      <c r="T8" s="130" t="s">
        <v>8</v>
      </c>
      <c r="U8" s="273">
        <f>IFERROR(VLOOKUP($U$6,$M$6:$R$20,MATCH($T8,$M$5:$R$5,0)),"")</f>
        <v>0.51400000000000001</v>
      </c>
      <c r="AC8" s="155" t="str">
        <f>D5</f>
        <v>Vg</v>
      </c>
    </row>
    <row r="9" spans="2:29">
      <c r="B9" s="132">
        <v>4</v>
      </c>
      <c r="C9" s="133">
        <v>1.2514000000000001</v>
      </c>
      <c r="D9" s="134">
        <v>9.76</v>
      </c>
      <c r="E9" s="134">
        <v>5</v>
      </c>
      <c r="F9" s="135">
        <v>2.5600000000000001E-2</v>
      </c>
      <c r="G9" s="135">
        <v>2.8014000000000001</v>
      </c>
      <c r="H9" s="181">
        <f t="shared" si="0"/>
        <v>27.966541409621225</v>
      </c>
      <c r="J9" s="130" t="s">
        <v>3</v>
      </c>
      <c r="K9" s="112">
        <f>IFERROR(VLOOKUP($K$6,$B$6:$H$20,MATCH($J9,$B$5:$H$5,0)),"")</f>
        <v>7.7201000000000004</v>
      </c>
      <c r="M9" s="132">
        <v>4</v>
      </c>
      <c r="N9" s="133"/>
      <c r="O9" s="134"/>
      <c r="P9" s="135">
        <v>0.49930000000000002</v>
      </c>
      <c r="Q9" s="135">
        <v>1.4</v>
      </c>
      <c r="R9" s="136" t="str">
        <f t="shared" si="1"/>
        <v/>
      </c>
      <c r="T9" s="130" t="s">
        <v>3</v>
      </c>
      <c r="U9" s="112">
        <f>IFERROR(VLOOKUP($U$6,$M$6:$R$20,MATCH($T9,$M$5:$R$5,0)),"")</f>
        <v>8.8238000000000003</v>
      </c>
      <c r="AC9" s="130" t="str">
        <f>E5</f>
        <v>Alíq</v>
      </c>
    </row>
    <row r="10" spans="2:29">
      <c r="B10" s="116">
        <v>5</v>
      </c>
      <c r="C10" s="127">
        <v>1.2527999999999999</v>
      </c>
      <c r="D10" s="94">
        <v>9.81</v>
      </c>
      <c r="E10" s="94">
        <v>5</v>
      </c>
      <c r="F10" s="122">
        <v>2.5600000000000001E-2</v>
      </c>
      <c r="G10" s="252">
        <v>2.8014000000000001</v>
      </c>
      <c r="H10" s="139">
        <f t="shared" si="0"/>
        <v>28.078400000000009</v>
      </c>
      <c r="J10" s="130" t="s">
        <v>305</v>
      </c>
      <c r="K10" s="112">
        <f>IFERROR(VLOOKUP($K$6,$B$6:$H$20,MATCH($J10,$B$5:$H$5,0)),"")</f>
        <v>2.5600000000000001E-2</v>
      </c>
      <c r="M10" s="116">
        <v>5</v>
      </c>
      <c r="N10" s="127"/>
      <c r="O10" s="94"/>
      <c r="P10" s="122">
        <v>0.49930000000000002</v>
      </c>
      <c r="Q10" s="122">
        <v>1.4</v>
      </c>
      <c r="R10" s="118" t="str">
        <f t="shared" si="1"/>
        <v/>
      </c>
      <c r="T10" s="130" t="s">
        <v>305</v>
      </c>
      <c r="U10" s="112">
        <f>IFERROR(VLOOKUP($U$6,$M$6:$R$20,MATCH($T10,$M$5:$R$5,0)),"")</f>
        <v>0.49930000000000002</v>
      </c>
      <c r="AC10" s="130" t="str">
        <f>F5</f>
        <v>Normali</v>
      </c>
    </row>
    <row r="11" spans="2:29">
      <c r="B11" s="132">
        <v>6</v>
      </c>
      <c r="C11" s="133"/>
      <c r="D11" s="134"/>
      <c r="E11" s="134"/>
      <c r="F11" s="135">
        <v>2.5600000000000001E-2</v>
      </c>
      <c r="G11" s="135">
        <v>2.8014000000000001</v>
      </c>
      <c r="H11" s="181" t="str">
        <f t="shared" si="0"/>
        <v/>
      </c>
      <c r="J11" s="130" t="s">
        <v>8</v>
      </c>
      <c r="K11" s="112">
        <f>IFERROR(VLOOKUP($K$6,$B$6:$H$20,MATCH($J11,$B$5:$H$5,0)),"")</f>
        <v>1.1073</v>
      </c>
      <c r="M11" s="132">
        <v>6</v>
      </c>
      <c r="N11" s="133"/>
      <c r="O11" s="134"/>
      <c r="P11" s="135">
        <v>0.49930000000000002</v>
      </c>
      <c r="Q11" s="135">
        <v>1.4</v>
      </c>
      <c r="R11" s="136" t="str">
        <f t="shared" si="1"/>
        <v/>
      </c>
      <c r="AC11" s="130" t="str">
        <f>G5</f>
        <v>Fator</v>
      </c>
    </row>
    <row r="12" spans="2:29">
      <c r="B12" s="116">
        <v>7</v>
      </c>
      <c r="C12" s="127">
        <v>1.2589999999999999</v>
      </c>
      <c r="D12" s="94">
        <v>9.84</v>
      </c>
      <c r="E12" s="94">
        <v>5</v>
      </c>
      <c r="F12" s="122">
        <v>2.5600000000000001E-2</v>
      </c>
      <c r="G12" s="122">
        <v>2.8014000000000001</v>
      </c>
      <c r="H12" s="139">
        <f t="shared" si="0"/>
        <v>28.02557051628277</v>
      </c>
      <c r="M12" s="116">
        <v>7</v>
      </c>
      <c r="N12" s="127"/>
      <c r="O12" s="94"/>
      <c r="P12" s="122">
        <v>0.49930000000000002</v>
      </c>
      <c r="Q12" s="122">
        <v>1.4</v>
      </c>
      <c r="R12" s="118" t="str">
        <f t="shared" si="1"/>
        <v/>
      </c>
      <c r="AC12" s="131" t="str">
        <f>H5</f>
        <v>%N</v>
      </c>
    </row>
    <row r="13" spans="2:29">
      <c r="B13" s="132">
        <v>8</v>
      </c>
      <c r="C13" s="133">
        <v>1.2574000000000001</v>
      </c>
      <c r="D13" s="134">
        <v>9.9499999999999993</v>
      </c>
      <c r="E13" s="134">
        <v>5</v>
      </c>
      <c r="F13" s="135">
        <v>2.5600000000000001E-2</v>
      </c>
      <c r="G13" s="135">
        <v>2.8014000000000001</v>
      </c>
      <c r="H13" s="181">
        <f t="shared" si="0"/>
        <v>28.374924765388894</v>
      </c>
      <c r="M13" s="132">
        <v>8</v>
      </c>
      <c r="N13" s="133"/>
      <c r="O13" s="134"/>
      <c r="P13" s="135">
        <v>0.49930000000000002</v>
      </c>
      <c r="Q13" s="135">
        <v>1.4</v>
      </c>
      <c r="R13" s="136" t="str">
        <f t="shared" si="1"/>
        <v/>
      </c>
    </row>
    <row r="14" spans="2:29">
      <c r="B14" s="116">
        <v>9</v>
      </c>
      <c r="C14" s="127"/>
      <c r="D14" s="94"/>
      <c r="E14" s="94"/>
      <c r="F14" s="122">
        <v>2.5600000000000001E-2</v>
      </c>
      <c r="G14" s="122">
        <v>2.8014000000000001</v>
      </c>
      <c r="H14" s="139" t="str">
        <f t="shared" si="0"/>
        <v/>
      </c>
      <c r="M14" s="116">
        <v>9</v>
      </c>
      <c r="N14" s="127"/>
      <c r="O14" s="94"/>
      <c r="P14" s="122">
        <v>0.49930000000000002</v>
      </c>
      <c r="Q14" s="122">
        <v>1.4</v>
      </c>
      <c r="R14" s="118" t="str">
        <f t="shared" si="1"/>
        <v/>
      </c>
    </row>
    <row r="15" spans="2:29">
      <c r="B15" s="132">
        <v>10</v>
      </c>
      <c r="C15" s="133">
        <v>1.0517000000000001</v>
      </c>
      <c r="D15" s="134">
        <v>11.71</v>
      </c>
      <c r="E15" s="134">
        <v>5</v>
      </c>
      <c r="F15" s="135">
        <v>2.5600000000000001E-2</v>
      </c>
      <c r="G15" s="135">
        <v>2.8014000000000001</v>
      </c>
      <c r="H15" s="181">
        <f t="shared" si="0"/>
        <v>39.925477151278884</v>
      </c>
      <c r="M15" s="132">
        <v>10</v>
      </c>
      <c r="N15" s="133"/>
      <c r="O15" s="134"/>
      <c r="P15" s="135">
        <v>0.49930000000000002</v>
      </c>
      <c r="Q15" s="135">
        <v>1.4</v>
      </c>
      <c r="R15" s="181" t="str">
        <f t="shared" si="1"/>
        <v/>
      </c>
    </row>
    <row r="16" spans="2:29" ht="15" thickBot="1">
      <c r="B16" s="116">
        <v>11</v>
      </c>
      <c r="C16" s="127"/>
      <c r="D16" s="94"/>
      <c r="E16" s="94"/>
      <c r="F16" s="122">
        <v>2.5600000000000001E-2</v>
      </c>
      <c r="G16" s="122">
        <v>2.8014000000000001</v>
      </c>
      <c r="H16" s="139" t="str">
        <f t="shared" si="0"/>
        <v/>
      </c>
      <c r="M16" s="116">
        <v>11</v>
      </c>
      <c r="N16" s="127"/>
      <c r="O16" s="94"/>
      <c r="P16" s="122">
        <v>0.49930000000000002</v>
      </c>
      <c r="Q16" s="122">
        <v>1.4</v>
      </c>
      <c r="R16" s="139" t="str">
        <f t="shared" si="1"/>
        <v/>
      </c>
    </row>
    <row r="17" spans="1:29">
      <c r="B17" s="132">
        <v>12</v>
      </c>
      <c r="C17" s="133">
        <v>1.0283</v>
      </c>
      <c r="D17" s="134">
        <v>11.6</v>
      </c>
      <c r="E17" s="134">
        <v>10</v>
      </c>
      <c r="F17" s="135">
        <v>2.5600000000000001E-2</v>
      </c>
      <c r="G17" s="135">
        <v>2.8014000000000001</v>
      </c>
      <c r="H17" s="181">
        <f t="shared" si="0"/>
        <v>20.225219877467666</v>
      </c>
      <c r="I17" s="279" t="s">
        <v>184</v>
      </c>
      <c r="M17" s="132">
        <v>12</v>
      </c>
      <c r="N17" s="133"/>
      <c r="O17" s="134"/>
      <c r="P17" s="135">
        <v>0.49930000000000002</v>
      </c>
      <c r="Q17" s="135">
        <v>1.4</v>
      </c>
      <c r="R17" s="136" t="str">
        <f t="shared" si="1"/>
        <v/>
      </c>
    </row>
    <row r="18" spans="1:29">
      <c r="B18" s="116">
        <v>13</v>
      </c>
      <c r="C18" s="127"/>
      <c r="D18" s="94"/>
      <c r="E18" s="94"/>
      <c r="F18" s="122">
        <v>2.5600000000000001E-2</v>
      </c>
      <c r="G18" s="122">
        <v>2.8014000000000001</v>
      </c>
      <c r="H18" s="139" t="str">
        <f t="shared" si="0"/>
        <v/>
      </c>
      <c r="I18" s="280" t="s">
        <v>185</v>
      </c>
      <c r="M18" s="116">
        <v>13</v>
      </c>
      <c r="N18" s="127"/>
      <c r="O18" s="94"/>
      <c r="P18" s="122">
        <v>0.49930000000000002</v>
      </c>
      <c r="Q18" s="122">
        <v>1.4</v>
      </c>
      <c r="R18" s="139" t="str">
        <f t="shared" si="1"/>
        <v/>
      </c>
    </row>
    <row r="19" spans="1:29">
      <c r="B19" s="132">
        <v>14</v>
      </c>
      <c r="C19" s="133">
        <v>1.5091000000000001</v>
      </c>
      <c r="D19" s="134">
        <v>8.81</v>
      </c>
      <c r="E19" s="134">
        <v>10</v>
      </c>
      <c r="F19" s="135">
        <v>2.5600000000000001E-2</v>
      </c>
      <c r="G19" s="135">
        <v>2.8014000000000001</v>
      </c>
      <c r="H19" s="181">
        <f t="shared" si="0"/>
        <v>10.466777390497649</v>
      </c>
      <c r="I19" s="280" t="s">
        <v>186</v>
      </c>
      <c r="M19" s="132">
        <v>14</v>
      </c>
      <c r="N19" s="133"/>
      <c r="O19" s="134"/>
      <c r="P19" s="135">
        <v>0.49930000000000002</v>
      </c>
      <c r="Q19" s="135">
        <v>1.4</v>
      </c>
      <c r="R19" s="136" t="str">
        <f t="shared" si="1"/>
        <v/>
      </c>
    </row>
    <row r="20" spans="1:29" ht="15" thickBot="1">
      <c r="B20" s="119">
        <v>15</v>
      </c>
      <c r="C20" s="128"/>
      <c r="D20" s="124"/>
      <c r="E20" s="124"/>
      <c r="F20" s="125">
        <v>2.5600000000000001E-2</v>
      </c>
      <c r="G20" s="481">
        <v>2.8014000000000001</v>
      </c>
      <c r="H20" s="140" t="str">
        <f t="shared" si="0"/>
        <v/>
      </c>
      <c r="I20" s="281" t="s">
        <v>187</v>
      </c>
      <c r="M20" s="119">
        <v>15</v>
      </c>
      <c r="N20" s="128"/>
      <c r="O20" s="124"/>
      <c r="P20" s="125">
        <v>0.49930000000000002</v>
      </c>
      <c r="Q20" s="125">
        <v>1.4</v>
      </c>
      <c r="R20" s="121" t="str">
        <f t="shared" si="1"/>
        <v/>
      </c>
    </row>
    <row r="22" spans="1:29">
      <c r="A22" s="332" t="s">
        <v>334</v>
      </c>
    </row>
    <row r="25" spans="1:29">
      <c r="AC25" s="129" t="str">
        <f>M5</f>
        <v>Nº</v>
      </c>
    </row>
    <row r="26" spans="1:29">
      <c r="AC26" s="130" t="str">
        <f>N5</f>
        <v>Massa</v>
      </c>
    </row>
    <row r="27" spans="1:29">
      <c r="AC27" s="155" t="str">
        <f>O5</f>
        <v>Vg</v>
      </c>
    </row>
    <row r="28" spans="1:29">
      <c r="AC28" s="130" t="str">
        <f>P5</f>
        <v>Normali</v>
      </c>
    </row>
    <row r="29" spans="1:29">
      <c r="AC29" s="130" t="str">
        <f>Q5</f>
        <v>Fator</v>
      </c>
    </row>
    <row r="30" spans="1:29">
      <c r="AC30" s="130" t="str">
        <f>R5</f>
        <v>%N</v>
      </c>
    </row>
    <row r="43" spans="4:16">
      <c r="D43" s="65" t="s">
        <v>249</v>
      </c>
      <c r="E43" s="65" t="s">
        <v>250</v>
      </c>
      <c r="F43" s="65" t="s">
        <v>251</v>
      </c>
      <c r="G43" s="65" t="s">
        <v>126</v>
      </c>
      <c r="H43" s="65" t="s">
        <v>252</v>
      </c>
      <c r="I43" s="115"/>
      <c r="J43" s="115"/>
      <c r="K43" s="115"/>
      <c r="L43" s="115"/>
      <c r="M43" s="65" t="s">
        <v>249</v>
      </c>
      <c r="N43" s="65" t="s">
        <v>250</v>
      </c>
      <c r="O43" s="65" t="s">
        <v>251</v>
      </c>
      <c r="P43" s="65" t="s">
        <v>126</v>
      </c>
    </row>
    <row r="44" spans="4:16">
      <c r="D44" s="65">
        <v>12</v>
      </c>
      <c r="E44" s="65">
        <v>15</v>
      </c>
      <c r="F44" s="65">
        <v>12</v>
      </c>
      <c r="G44" s="65">
        <v>9.6</v>
      </c>
      <c r="H44" s="65">
        <v>0.3</v>
      </c>
      <c r="I44" s="115"/>
      <c r="J44" s="115"/>
      <c r="K44" s="115"/>
      <c r="L44" s="115"/>
      <c r="M44" s="65">
        <v>11</v>
      </c>
      <c r="N44" s="65">
        <v>20</v>
      </c>
      <c r="O44" s="65">
        <v>11</v>
      </c>
      <c r="P44" s="65">
        <v>13</v>
      </c>
    </row>
    <row r="45" spans="4:16">
      <c r="D45" s="65">
        <v>11.371</v>
      </c>
      <c r="E45" s="65">
        <v>14.680999999999999</v>
      </c>
      <c r="F45" s="65">
        <v>8.6370000000000005</v>
      </c>
      <c r="G45" s="65"/>
      <c r="H45" s="65"/>
      <c r="M45" s="65">
        <v>10.433999999999999</v>
      </c>
      <c r="N45" s="65">
        <v>19.966000000000001</v>
      </c>
      <c r="O45" s="65">
        <v>8.1419999999999995</v>
      </c>
      <c r="P45" s="65"/>
    </row>
    <row r="47" spans="4:16">
      <c r="P47" s="180"/>
    </row>
  </sheetData>
  <mergeCells count="2">
    <mergeCell ref="M4:R4"/>
    <mergeCell ref="B4:H4"/>
  </mergeCells>
  <conditionalFormatting sqref="B6:H20">
    <cfRule type="expression" dxfId="15" priority="2">
      <formula>IF($B6=$K$6,TRUE,FALSE)</formula>
    </cfRule>
  </conditionalFormatting>
  <conditionalFormatting sqref="M6:R20">
    <cfRule type="expression" dxfId="14" priority="4">
      <formula>IF($M6=$U$6,TRUE,FALSE)</formula>
    </cfRule>
  </conditionalFormatting>
  <dataValidations count="3">
    <dataValidation type="list" allowBlank="1" showInputMessage="1" showErrorMessage="1" sqref="J8:J11" xr:uid="{989E4306-BDF3-4593-923E-A1E5C30D3610}">
      <formula1>$AC$6:$AC$12</formula1>
    </dataValidation>
    <dataValidation type="list" allowBlank="1" showInputMessage="1" showErrorMessage="1" sqref="T8:T10" xr:uid="{DEB85654-6EB9-494F-8029-F28735B12F6E}">
      <formula1>$AC$25:$AC$30</formula1>
    </dataValidation>
    <dataValidation type="list" allowBlank="1" showInputMessage="1" showErrorMessage="1" sqref="J22" xr:uid="{680F45E1-EC08-4D26-97CE-A099C2266555}">
      <formula1>$H$22:$H$23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opiarEColar">
                <anchor moveWithCells="1">
                  <from>
                    <xdr:col>8</xdr:col>
                    <xdr:colOff>222250</xdr:colOff>
                    <xdr:row>3</xdr:row>
                    <xdr:rowOff>69850</xdr:rowOff>
                  </from>
                  <to>
                    <xdr:col>11</xdr:col>
                    <xdr:colOff>31750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opiarEColar">
                <anchor moveWithCells="1">
                  <from>
                    <xdr:col>18</xdr:col>
                    <xdr:colOff>215900</xdr:colOff>
                    <xdr:row>3</xdr:row>
                    <xdr:rowOff>69850</xdr:rowOff>
                  </from>
                  <to>
                    <xdr:col>21</xdr:col>
                    <xdr:colOff>69850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10A02-04DE-49DF-9008-2B2B9A6F71E8}">
  <sheetPr codeName="Planilha3"/>
  <dimension ref="B1:P20"/>
  <sheetViews>
    <sheetView showGridLines="0" topLeftCell="A2" zoomScale="115" zoomScaleNormal="115" workbookViewId="0">
      <selection activeCell="K7" sqref="K7"/>
    </sheetView>
  </sheetViews>
  <sheetFormatPr defaultRowHeight="14.5"/>
  <cols>
    <col min="1" max="1" width="4.6328125" customWidth="1"/>
    <col min="2" max="2" width="4.6328125" style="115" customWidth="1"/>
    <col min="3" max="7" width="9.81640625" style="115" customWidth="1"/>
    <col min="8" max="8" width="12.26953125" style="115" bestFit="1" customWidth="1"/>
    <col min="9" max="9" width="5.81640625" customWidth="1"/>
    <col min="10" max="10" width="9.54296875" customWidth="1"/>
    <col min="11" max="11" width="10" customWidth="1"/>
    <col min="12" max="12" width="11.81640625" bestFit="1" customWidth="1"/>
    <col min="13" max="13" width="1.26953125" style="99" customWidth="1"/>
    <col min="14" max="14" width="5.7265625" customWidth="1"/>
    <col min="15" max="15" width="11.81640625" bestFit="1" customWidth="1"/>
    <col min="16" max="16" width="1.26953125" style="99" customWidth="1"/>
    <col min="17" max="17" width="5.7265625" customWidth="1"/>
    <col min="18" max="18" width="11.81640625" bestFit="1" customWidth="1"/>
  </cols>
  <sheetData>
    <row r="1" spans="2:16" ht="4" hidden="1" customHeight="1">
      <c r="B1"/>
      <c r="C1"/>
      <c r="D1"/>
      <c r="E1"/>
      <c r="F1"/>
      <c r="G1"/>
      <c r="H1"/>
      <c r="J1" s="115"/>
      <c r="L1" s="263">
        <v>1</v>
      </c>
      <c r="M1" s="263">
        <v>3</v>
      </c>
      <c r="N1" s="191" t="s">
        <v>299</v>
      </c>
      <c r="P1"/>
    </row>
    <row r="3" spans="2:16" ht="15" thickBot="1"/>
    <row r="4" spans="2:16" ht="15" thickBot="1">
      <c r="B4" s="351" t="s">
        <v>307</v>
      </c>
      <c r="C4" s="352"/>
      <c r="D4" s="352"/>
      <c r="E4" s="352"/>
      <c r="F4" s="352"/>
      <c r="G4" s="352"/>
      <c r="H4" s="353"/>
    </row>
    <row r="5" spans="2:16" ht="15" thickBot="1">
      <c r="B5" s="129" t="s">
        <v>1</v>
      </c>
      <c r="C5" s="130" t="s">
        <v>8</v>
      </c>
      <c r="D5" s="130" t="s">
        <v>15</v>
      </c>
      <c r="E5" s="130" t="s">
        <v>16</v>
      </c>
      <c r="F5" s="130" t="s">
        <v>9</v>
      </c>
      <c r="G5" s="130" t="s">
        <v>17</v>
      </c>
      <c r="H5" s="131" t="s">
        <v>18</v>
      </c>
      <c r="J5" s="141" t="s">
        <v>1</v>
      </c>
      <c r="K5" s="276">
        <v>1</v>
      </c>
    </row>
    <row r="6" spans="2:16" ht="15" thickBot="1">
      <c r="B6" s="116">
        <v>1</v>
      </c>
      <c r="C6" s="65">
        <v>0.53169999999999995</v>
      </c>
      <c r="D6" s="65">
        <v>250</v>
      </c>
      <c r="E6" s="65">
        <v>100</v>
      </c>
      <c r="F6" s="65">
        <v>30</v>
      </c>
      <c r="G6" s="117">
        <v>37.06</v>
      </c>
      <c r="H6" s="256">
        <f>IF(C6="","",((G6*(D6*E6)*POWER(10,-4))/(F6*C6))*1.205)</f>
        <v>6.9991379850793072</v>
      </c>
      <c r="K6" s="115"/>
    </row>
    <row r="7" spans="2:16">
      <c r="B7" s="132">
        <v>2</v>
      </c>
      <c r="C7" s="137">
        <v>0.57889999999999997</v>
      </c>
      <c r="D7" s="137">
        <v>250</v>
      </c>
      <c r="E7" s="137">
        <v>100</v>
      </c>
      <c r="F7" s="137">
        <v>30</v>
      </c>
      <c r="G7" s="255">
        <v>22.68</v>
      </c>
      <c r="H7" s="181">
        <f t="shared" ref="H7:H20" si="0">IF(C7="","",((G7*(D7*E7)*POWER(10,-4))/(F7*C7))*1.205)</f>
        <v>3.9340991535671113</v>
      </c>
      <c r="J7" s="347" t="s">
        <v>8</v>
      </c>
      <c r="K7" s="348">
        <f>IFERROR(VLOOKUP($K$5,$B$6:$H$20,MATCH($J7,$B$5:$H$5,0)),"")</f>
        <v>0.53169999999999995</v>
      </c>
    </row>
    <row r="8" spans="2:16">
      <c r="B8" s="116">
        <v>3</v>
      </c>
      <c r="C8" s="65">
        <v>0.52859999999999996</v>
      </c>
      <c r="D8" s="65">
        <v>250</v>
      </c>
      <c r="E8" s="65">
        <v>100</v>
      </c>
      <c r="F8" s="65">
        <v>30</v>
      </c>
      <c r="G8" s="117">
        <v>0</v>
      </c>
      <c r="H8" s="139">
        <f t="shared" si="0"/>
        <v>0</v>
      </c>
      <c r="J8" s="347" t="s">
        <v>16</v>
      </c>
      <c r="K8" s="349">
        <f t="shared" ref="K8:K10" si="1">IFERROR(VLOOKUP($K$5,$B$6:$H$20,MATCH($J8,$B$5:$H$5,0)),"")</f>
        <v>100</v>
      </c>
    </row>
    <row r="9" spans="2:16">
      <c r="B9" s="132">
        <v>4</v>
      </c>
      <c r="C9" s="137">
        <v>0.53690000000000004</v>
      </c>
      <c r="D9" s="137">
        <v>250</v>
      </c>
      <c r="E9" s="137">
        <v>100</v>
      </c>
      <c r="F9" s="137">
        <v>30</v>
      </c>
      <c r="G9" s="138">
        <v>22.57</v>
      </c>
      <c r="H9" s="181">
        <f t="shared" si="0"/>
        <v>4.2212780157695411</v>
      </c>
      <c r="J9" s="347" t="s">
        <v>9</v>
      </c>
      <c r="K9" s="349">
        <f t="shared" si="1"/>
        <v>30</v>
      </c>
    </row>
    <row r="10" spans="2:16" ht="15" thickBot="1">
      <c r="B10" s="116">
        <v>5</v>
      </c>
      <c r="C10" s="65">
        <v>0.54779999999999995</v>
      </c>
      <c r="D10" s="65">
        <v>250</v>
      </c>
      <c r="E10" s="65">
        <v>100</v>
      </c>
      <c r="F10" s="65">
        <v>30</v>
      </c>
      <c r="G10" s="117">
        <v>21.66</v>
      </c>
      <c r="H10" s="139">
        <f t="shared" si="0"/>
        <v>3.9704728002920788</v>
      </c>
      <c r="J10" s="347" t="s">
        <v>17</v>
      </c>
      <c r="K10" s="350">
        <f t="shared" si="1"/>
        <v>37.06</v>
      </c>
    </row>
    <row r="11" spans="2:16">
      <c r="B11" s="132">
        <v>6</v>
      </c>
      <c r="C11" s="137"/>
      <c r="D11" s="137"/>
      <c r="E11" s="137"/>
      <c r="F11" s="137"/>
      <c r="G11" s="138"/>
      <c r="H11" s="181" t="str">
        <f t="shared" si="0"/>
        <v/>
      </c>
    </row>
    <row r="12" spans="2:16">
      <c r="B12" s="116">
        <v>7</v>
      </c>
      <c r="C12" s="65">
        <v>0.51780000000000004</v>
      </c>
      <c r="D12" s="65">
        <v>500</v>
      </c>
      <c r="E12" s="65">
        <v>250</v>
      </c>
      <c r="F12" s="65">
        <v>20</v>
      </c>
      <c r="G12" s="117">
        <v>20.98</v>
      </c>
      <c r="H12" s="139">
        <f t="shared" si="0"/>
        <v>30.514798184627267</v>
      </c>
    </row>
    <row r="13" spans="2:16">
      <c r="B13" s="132">
        <v>8</v>
      </c>
      <c r="C13" s="137"/>
      <c r="D13" s="137"/>
      <c r="E13" s="137"/>
      <c r="F13" s="137"/>
      <c r="G13" s="138"/>
      <c r="H13" s="136" t="str">
        <f t="shared" si="0"/>
        <v/>
      </c>
    </row>
    <row r="14" spans="2:16">
      <c r="B14" s="116">
        <v>9</v>
      </c>
      <c r="C14" s="65"/>
      <c r="D14" s="65"/>
      <c r="E14" s="65"/>
      <c r="F14" s="65"/>
      <c r="G14" s="117"/>
      <c r="H14" s="118" t="str">
        <f t="shared" si="0"/>
        <v/>
      </c>
    </row>
    <row r="15" spans="2:16">
      <c r="B15" s="132">
        <v>10</v>
      </c>
      <c r="C15" s="137">
        <v>1.0569999999999999</v>
      </c>
      <c r="D15" s="137">
        <v>250</v>
      </c>
      <c r="E15" s="137">
        <v>100</v>
      </c>
      <c r="F15" s="137">
        <v>3</v>
      </c>
      <c r="G15" s="138">
        <v>20.100000000000001</v>
      </c>
      <c r="H15" s="181">
        <f t="shared" si="0"/>
        <v>19.095316934720913</v>
      </c>
    </row>
    <row r="16" spans="2:16">
      <c r="B16" s="116">
        <v>11</v>
      </c>
      <c r="C16" s="65">
        <v>1.0515000000000001</v>
      </c>
      <c r="D16" s="65">
        <v>250</v>
      </c>
      <c r="E16" s="65">
        <v>100</v>
      </c>
      <c r="F16" s="65">
        <v>3</v>
      </c>
      <c r="G16" s="117">
        <v>20.13</v>
      </c>
      <c r="H16" s="118">
        <f t="shared" si="0"/>
        <v>19.223846885401805</v>
      </c>
    </row>
    <row r="17" spans="2:8">
      <c r="B17" s="132">
        <v>12</v>
      </c>
      <c r="C17" s="137"/>
      <c r="D17" s="137"/>
      <c r="E17" s="137"/>
      <c r="F17" s="137"/>
      <c r="G17" s="138"/>
      <c r="H17" s="136" t="str">
        <f t="shared" si="0"/>
        <v/>
      </c>
    </row>
    <row r="18" spans="2:8">
      <c r="B18" s="116">
        <v>13</v>
      </c>
      <c r="C18" s="65">
        <v>1.0712999999999999</v>
      </c>
      <c r="D18" s="65">
        <v>250</v>
      </c>
      <c r="E18" s="65">
        <v>100</v>
      </c>
      <c r="F18" s="65">
        <v>6</v>
      </c>
      <c r="G18" s="117">
        <v>23.114699999999999</v>
      </c>
      <c r="H18" s="139">
        <f t="shared" si="0"/>
        <v>10.833105222626717</v>
      </c>
    </row>
    <row r="19" spans="2:8">
      <c r="B19" s="132">
        <v>14</v>
      </c>
      <c r="C19" s="137"/>
      <c r="D19" s="137"/>
      <c r="E19" s="137"/>
      <c r="F19" s="137"/>
      <c r="G19" s="138"/>
      <c r="H19" s="136" t="str">
        <f t="shared" si="0"/>
        <v/>
      </c>
    </row>
    <row r="20" spans="2:8" ht="15" thickBot="1">
      <c r="B20" s="119">
        <v>15</v>
      </c>
      <c r="C20" s="67"/>
      <c r="D20" s="67"/>
      <c r="E20" s="67"/>
      <c r="F20" s="67"/>
      <c r="G20" s="120"/>
      <c r="H20" s="121" t="str">
        <f t="shared" si="0"/>
        <v/>
      </c>
    </row>
  </sheetData>
  <mergeCells count="1">
    <mergeCell ref="B4:H4"/>
  </mergeCells>
  <conditionalFormatting sqref="B6:H20">
    <cfRule type="expression" dxfId="13" priority="1">
      <formula>IF($B6=$K$5,TRUE,FALSE)</formula>
    </cfRule>
  </conditionalFormatting>
  <pageMargins left="0.511811024" right="0.511811024" top="0.78740157499999996" bottom="0.78740157499999996" header="0.31496062000000002" footer="0.31496062000000002"/>
  <pageSetup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piarEColar">
                <anchor moveWithCells="1">
                  <from>
                    <xdr:col>8</xdr:col>
                    <xdr:colOff>400050</xdr:colOff>
                    <xdr:row>2</xdr:row>
                    <xdr:rowOff>120650</xdr:rowOff>
                  </from>
                  <to>
                    <xdr:col>11</xdr:col>
                    <xdr:colOff>6350</xdr:colOff>
                    <xdr:row>3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FB48D-CA78-4DC2-AC42-CE0B742ADE7D}">
  <sheetPr codeName="Planilha2"/>
  <dimension ref="B1:N25"/>
  <sheetViews>
    <sheetView showGridLines="0" topLeftCell="A2" zoomScale="115" zoomScaleNormal="115" workbookViewId="0">
      <selection activeCell="K7" sqref="K7"/>
    </sheetView>
  </sheetViews>
  <sheetFormatPr defaultRowHeight="14.5"/>
  <cols>
    <col min="1" max="1" width="4.6328125" customWidth="1"/>
    <col min="2" max="2" width="4.6328125" style="115" customWidth="1"/>
    <col min="3" max="3" width="7.08984375" style="115" bestFit="1" customWidth="1"/>
    <col min="4" max="4" width="7.90625" style="115" bestFit="1" customWidth="1"/>
    <col min="5" max="5" width="8.90625" style="115" bestFit="1" customWidth="1"/>
    <col min="6" max="6" width="8.7265625" style="115" bestFit="1" customWidth="1"/>
    <col min="7" max="7" width="8.81640625" style="115" bestFit="1" customWidth="1"/>
    <col min="8" max="8" width="8.6328125" style="115" bestFit="1" customWidth="1"/>
    <col min="9" max="9" width="4.453125" style="115" customWidth="1"/>
    <col min="11" max="11" width="11.08984375" customWidth="1"/>
  </cols>
  <sheetData>
    <row r="1" spans="2:14" ht="8" hidden="1" customHeight="1">
      <c r="B1"/>
      <c r="C1"/>
      <c r="D1"/>
      <c r="E1"/>
      <c r="F1"/>
      <c r="G1"/>
      <c r="H1"/>
      <c r="J1" s="115"/>
      <c r="L1" s="263">
        <v>1</v>
      </c>
      <c r="M1" s="263">
        <v>3</v>
      </c>
      <c r="N1" s="191" t="s">
        <v>299</v>
      </c>
    </row>
    <row r="3" spans="2:14" ht="15" thickBot="1"/>
    <row r="4" spans="2:14" ht="15" thickBot="1">
      <c r="B4" s="351" t="s">
        <v>333</v>
      </c>
      <c r="C4" s="352"/>
      <c r="D4" s="352"/>
      <c r="E4" s="352"/>
      <c r="F4" s="352"/>
      <c r="G4" s="352"/>
      <c r="H4" s="353"/>
    </row>
    <row r="5" spans="2:14" ht="15" thickBot="1">
      <c r="B5" s="129" t="s">
        <v>1</v>
      </c>
      <c r="C5" s="130" t="s">
        <v>8</v>
      </c>
      <c r="D5" s="130" t="s">
        <v>9</v>
      </c>
      <c r="E5" s="130" t="s">
        <v>10</v>
      </c>
      <c r="F5" s="130" t="s">
        <v>11</v>
      </c>
      <c r="G5" s="130" t="s">
        <v>12</v>
      </c>
      <c r="H5" s="131" t="s">
        <v>13</v>
      </c>
      <c r="I5"/>
      <c r="J5" s="141" t="s">
        <v>1</v>
      </c>
      <c r="K5" s="275">
        <v>1</v>
      </c>
    </row>
    <row r="6" spans="2:14" ht="15" thickBot="1">
      <c r="B6" s="116">
        <v>1</v>
      </c>
      <c r="C6" s="251">
        <v>0.5171</v>
      </c>
      <c r="D6" s="251">
        <v>40</v>
      </c>
      <c r="E6" s="161">
        <v>49.223700000000001</v>
      </c>
      <c r="F6" s="161">
        <v>48.914099999999998</v>
      </c>
      <c r="G6" s="252">
        <f>E6-F6</f>
        <v>0.30960000000000321</v>
      </c>
      <c r="H6" s="253">
        <f>IFERROR((G6*3.207)/(C6/250*D6),"")</f>
        <v>12.000667182363301</v>
      </c>
      <c r="I6"/>
      <c r="K6" s="115"/>
    </row>
    <row r="7" spans="2:14">
      <c r="B7" s="132">
        <v>2</v>
      </c>
      <c r="C7" s="137"/>
      <c r="D7" s="137"/>
      <c r="E7" s="133"/>
      <c r="F7" s="133"/>
      <c r="G7" s="138">
        <f>E7-F7</f>
        <v>0</v>
      </c>
      <c r="H7" s="181" t="str">
        <f t="shared" ref="H7:H20" si="0">IFERROR((G7*3.207)/(C7/250*D7),"")</f>
        <v/>
      </c>
      <c r="I7"/>
      <c r="J7" s="130" t="s">
        <v>8</v>
      </c>
      <c r="K7" s="273">
        <f>IFERROR(VLOOKUP($K$5,$B$6:$H$20,MATCH($J7,$B$5:$H$5,0)),"")</f>
        <v>0.5171</v>
      </c>
    </row>
    <row r="8" spans="2:14">
      <c r="B8" s="116">
        <v>3</v>
      </c>
      <c r="C8" s="65"/>
      <c r="D8" s="65"/>
      <c r="E8" s="127"/>
      <c r="F8" s="127"/>
      <c r="G8" s="117">
        <f>E8-F8</f>
        <v>0</v>
      </c>
      <c r="H8" s="139" t="str">
        <f t="shared" si="0"/>
        <v/>
      </c>
      <c r="I8"/>
      <c r="J8" s="130" t="s">
        <v>9</v>
      </c>
      <c r="K8" s="112">
        <f t="shared" ref="K8:K10" si="1">IFERROR(VLOOKUP($K$5,$B$6:$H$20,MATCH($J8,$B$5:$H$5,0)),"")</f>
        <v>40</v>
      </c>
    </row>
    <row r="9" spans="2:14">
      <c r="B9" s="132">
        <v>4</v>
      </c>
      <c r="C9" s="137">
        <v>0.50870000000000004</v>
      </c>
      <c r="D9" s="137">
        <v>15</v>
      </c>
      <c r="E9" s="133">
        <v>50.098999999999997</v>
      </c>
      <c r="F9" s="133">
        <v>49.908799999999999</v>
      </c>
      <c r="G9" s="138">
        <f>E9-F9</f>
        <v>0.19019999999999726</v>
      </c>
      <c r="H9" s="181">
        <f t="shared" si="0"/>
        <v>19.984647139767745</v>
      </c>
      <c r="I9"/>
      <c r="J9" s="130" t="s">
        <v>10</v>
      </c>
      <c r="K9" s="112">
        <f t="shared" si="1"/>
        <v>49.223700000000001</v>
      </c>
    </row>
    <row r="10" spans="2:14">
      <c r="B10" s="116">
        <v>5</v>
      </c>
      <c r="C10" s="65"/>
      <c r="D10" s="65"/>
      <c r="E10" s="127"/>
      <c r="F10" s="127"/>
      <c r="G10" s="117">
        <f t="shared" ref="G10:G20" si="2">E10-F10</f>
        <v>0</v>
      </c>
      <c r="H10" s="139" t="str">
        <f t="shared" si="0"/>
        <v/>
      </c>
      <c r="I10"/>
      <c r="J10" s="130" t="s">
        <v>11</v>
      </c>
      <c r="K10" s="112">
        <f t="shared" si="1"/>
        <v>48.914099999999998</v>
      </c>
    </row>
    <row r="11" spans="2:14">
      <c r="B11" s="132">
        <v>6</v>
      </c>
      <c r="C11" s="137"/>
      <c r="D11" s="137"/>
      <c r="E11" s="133"/>
      <c r="F11" s="133"/>
      <c r="G11" s="138">
        <f t="shared" si="2"/>
        <v>0</v>
      </c>
      <c r="H11" s="181" t="str">
        <f t="shared" si="0"/>
        <v/>
      </c>
    </row>
    <row r="12" spans="2:14">
      <c r="B12" s="116">
        <v>7</v>
      </c>
      <c r="C12" s="65">
        <v>0.51739999999999997</v>
      </c>
      <c r="D12" s="65">
        <v>20</v>
      </c>
      <c r="E12" s="127">
        <v>45.928899999999999</v>
      </c>
      <c r="F12" s="127">
        <v>45.708399999999997</v>
      </c>
      <c r="G12" s="122">
        <f t="shared" si="2"/>
        <v>0.22050000000000125</v>
      </c>
      <c r="H12" s="139">
        <f t="shared" si="0"/>
        <v>17.08406213761123</v>
      </c>
    </row>
    <row r="13" spans="2:14">
      <c r="B13" s="132">
        <v>8</v>
      </c>
      <c r="C13" s="137">
        <v>0.51919999999999999</v>
      </c>
      <c r="D13" s="137">
        <v>20</v>
      </c>
      <c r="E13" s="133">
        <v>45.794800000000002</v>
      </c>
      <c r="F13" s="133">
        <v>45.574800000000003</v>
      </c>
      <c r="G13" s="138">
        <f t="shared" si="2"/>
        <v>0.21999999999999886</v>
      </c>
      <c r="H13" s="181">
        <f t="shared" si="0"/>
        <v>16.986228813559229</v>
      </c>
    </row>
    <row r="14" spans="2:14">
      <c r="B14" s="116">
        <v>9</v>
      </c>
      <c r="C14" s="65"/>
      <c r="D14" s="65"/>
      <c r="E14" s="127"/>
      <c r="F14" s="127"/>
      <c r="G14" s="117">
        <f t="shared" si="2"/>
        <v>0</v>
      </c>
      <c r="H14" s="139" t="str">
        <f t="shared" si="0"/>
        <v/>
      </c>
    </row>
    <row r="15" spans="2:14">
      <c r="B15" s="132">
        <v>10</v>
      </c>
      <c r="C15" s="137">
        <v>0.505</v>
      </c>
      <c r="D15" s="137">
        <v>40</v>
      </c>
      <c r="E15" s="133">
        <v>45.698099999999997</v>
      </c>
      <c r="F15" s="133">
        <v>45.575400000000002</v>
      </c>
      <c r="G15" s="138">
        <f t="shared" si="2"/>
        <v>0.1226999999999947</v>
      </c>
      <c r="H15" s="181">
        <f t="shared" si="0"/>
        <v>4.8700358910888975</v>
      </c>
    </row>
    <row r="16" spans="2:14" ht="15" thickBot="1">
      <c r="B16" s="116">
        <v>11</v>
      </c>
      <c r="C16" s="65"/>
      <c r="D16" s="65"/>
      <c r="E16" s="127"/>
      <c r="F16" s="127"/>
      <c r="G16" s="117">
        <f t="shared" si="2"/>
        <v>0</v>
      </c>
      <c r="H16" s="139" t="str">
        <f t="shared" si="0"/>
        <v/>
      </c>
    </row>
    <row r="17" spans="2:9">
      <c r="B17" s="132">
        <v>12</v>
      </c>
      <c r="C17" s="137">
        <v>0.50309999999999999</v>
      </c>
      <c r="D17" s="137">
        <v>40</v>
      </c>
      <c r="E17" s="133">
        <v>45.2654</v>
      </c>
      <c r="F17" s="133">
        <v>45.167099999999998</v>
      </c>
      <c r="G17" s="138">
        <f t="shared" si="2"/>
        <v>9.830000000000183E-2</v>
      </c>
      <c r="H17" s="181">
        <f t="shared" si="0"/>
        <v>3.9163200655933936</v>
      </c>
      <c r="I17" s="279" t="s">
        <v>184</v>
      </c>
    </row>
    <row r="18" spans="2:9">
      <c r="B18" s="116">
        <v>13</v>
      </c>
      <c r="C18" s="65">
        <v>0.51190000000000002</v>
      </c>
      <c r="D18" s="65">
        <v>16</v>
      </c>
      <c r="E18" s="127">
        <v>45.732700000000001</v>
      </c>
      <c r="F18" s="127">
        <v>45.215400000000002</v>
      </c>
      <c r="G18" s="117">
        <f t="shared" si="2"/>
        <v>0.51729999999999876</v>
      </c>
      <c r="H18" s="139">
        <f t="shared" si="0"/>
        <v>50.63797555674924</v>
      </c>
      <c r="I18" s="280" t="s">
        <v>185</v>
      </c>
    </row>
    <row r="19" spans="2:9">
      <c r="B19" s="132">
        <v>14</v>
      </c>
      <c r="C19" s="137">
        <v>0.5071</v>
      </c>
      <c r="D19" s="137">
        <v>16</v>
      </c>
      <c r="E19" s="133">
        <v>46.0625</v>
      </c>
      <c r="F19" s="133">
        <v>45.553400000000003</v>
      </c>
      <c r="G19" s="138">
        <f t="shared" si="2"/>
        <v>0.50909999999999656</v>
      </c>
      <c r="H19" s="181">
        <f t="shared" si="0"/>
        <v>50.307006137842293</v>
      </c>
      <c r="I19" s="280" t="s">
        <v>186</v>
      </c>
    </row>
    <row r="20" spans="2:9" ht="15" thickBot="1">
      <c r="B20" s="119">
        <v>15</v>
      </c>
      <c r="C20" s="67"/>
      <c r="D20" s="67"/>
      <c r="E20" s="128"/>
      <c r="F20" s="128"/>
      <c r="G20" s="120">
        <f t="shared" si="2"/>
        <v>0</v>
      </c>
      <c r="H20" s="140" t="str">
        <f t="shared" si="0"/>
        <v/>
      </c>
      <c r="I20" s="281" t="s">
        <v>187</v>
      </c>
    </row>
    <row r="25" spans="2:9">
      <c r="H25" s="115" t="s">
        <v>292</v>
      </c>
    </row>
  </sheetData>
  <mergeCells count="1">
    <mergeCell ref="B4:H4"/>
  </mergeCells>
  <conditionalFormatting sqref="B6:H20">
    <cfRule type="expression" dxfId="12" priority="1">
      <formula>IF($B6=$K$5,TRUE,FALSE)</formula>
    </cfRule>
  </conditionalFormatting>
  <pageMargins left="0.511811024" right="0.511811024" top="0.78740157499999996" bottom="0.78740157499999996" header="0.31496062000000002" footer="0.31496062000000002"/>
  <pageSetup paperSize="256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opiarEColar">
                <anchor moveWithCells="1">
                  <from>
                    <xdr:col>9</xdr:col>
                    <xdr:colOff>12700</xdr:colOff>
                    <xdr:row>2</xdr:row>
                    <xdr:rowOff>107950</xdr:rowOff>
                  </from>
                  <to>
                    <xdr:col>11</xdr:col>
                    <xdr:colOff>6350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67634-9E7F-4E13-9F76-89401E9B9100}">
  <sheetPr codeName="Planilha5"/>
  <dimension ref="B1:N20"/>
  <sheetViews>
    <sheetView showGridLines="0" topLeftCell="A2" zoomScale="115" zoomScaleNormal="115" workbookViewId="0">
      <selection activeCell="G6" sqref="G6"/>
    </sheetView>
  </sheetViews>
  <sheetFormatPr defaultRowHeight="14.5"/>
  <cols>
    <col min="1" max="2" width="4.6328125" customWidth="1"/>
    <col min="3" max="7" width="10.453125" customWidth="1"/>
    <col min="8" max="8" width="5.54296875" customWidth="1"/>
    <col min="9" max="9" width="11.08984375" customWidth="1"/>
    <col min="10" max="10" width="9.7265625" style="115" customWidth="1"/>
    <col min="11" max="17" width="10.453125" customWidth="1"/>
    <col min="18" max="18" width="12.26953125" customWidth="1"/>
  </cols>
  <sheetData>
    <row r="1" spans="2:14" ht="8" hidden="1" customHeight="1">
      <c r="L1" s="263">
        <v>1</v>
      </c>
      <c r="M1" s="263">
        <v>3</v>
      </c>
      <c r="N1" s="191" t="s">
        <v>299</v>
      </c>
    </row>
    <row r="3" spans="2:14" ht="15" thickBot="1"/>
    <row r="4" spans="2:14" ht="15" thickBot="1">
      <c r="B4" s="351" t="s">
        <v>21</v>
      </c>
      <c r="C4" s="352"/>
      <c r="D4" s="352"/>
      <c r="E4" s="352"/>
      <c r="F4" s="352"/>
      <c r="G4" s="353"/>
    </row>
    <row r="5" spans="2:14" ht="15" thickBot="1">
      <c r="B5" s="129" t="s">
        <v>1</v>
      </c>
      <c r="C5" s="130" t="s">
        <v>8</v>
      </c>
      <c r="D5" s="130" t="s">
        <v>10</v>
      </c>
      <c r="E5" s="130" t="s">
        <v>11</v>
      </c>
      <c r="F5" s="130" t="s">
        <v>12</v>
      </c>
      <c r="G5" s="131" t="s">
        <v>22</v>
      </c>
      <c r="I5" s="141" t="s">
        <v>1</v>
      </c>
      <c r="J5" s="275">
        <v>1</v>
      </c>
    </row>
    <row r="6" spans="2:14" ht="15" thickBot="1">
      <c r="B6" s="116">
        <v>1</v>
      </c>
      <c r="C6" s="251">
        <v>0.52880000000000005</v>
      </c>
      <c r="D6" s="161">
        <v>45.7136</v>
      </c>
      <c r="E6" s="251">
        <v>45.694400000000002</v>
      </c>
      <c r="F6" s="252">
        <f>D6-E6</f>
        <v>1.9199999999997885E-2</v>
      </c>
      <c r="G6" s="253">
        <f>IFERROR((F6*13.74)/C6,"")</f>
        <v>0.49888048411492236</v>
      </c>
    </row>
    <row r="7" spans="2:14">
      <c r="B7" s="132">
        <v>2</v>
      </c>
      <c r="C7" s="137">
        <v>0.51290000000000002</v>
      </c>
      <c r="D7" s="137">
        <v>45.536000000000001</v>
      </c>
      <c r="E7" s="137">
        <v>45.167099999999998</v>
      </c>
      <c r="F7" s="135">
        <f>D7-E7</f>
        <v>0.36890000000000356</v>
      </c>
      <c r="G7" s="181">
        <f t="shared" ref="G7:G20" si="0">IFERROR((F7*13.74)/C7,"")</f>
        <v>9.8824059270813986</v>
      </c>
      <c r="I7" s="271" t="s">
        <v>302</v>
      </c>
      <c r="J7" s="273">
        <f>IFERROR(VLOOKUP($J$5,$B$6:$G$20,MATCH($I7,$B$5:$G$5,0)),"")</f>
        <v>45.7136</v>
      </c>
    </row>
    <row r="8" spans="2:14">
      <c r="B8" s="116">
        <v>3</v>
      </c>
      <c r="C8" s="65"/>
      <c r="D8" s="127"/>
      <c r="E8" s="65"/>
      <c r="F8" s="122">
        <f>D8-E8</f>
        <v>0</v>
      </c>
      <c r="G8" s="139" t="str">
        <f t="shared" si="0"/>
        <v/>
      </c>
      <c r="I8" s="272" t="s">
        <v>11</v>
      </c>
      <c r="J8" s="112">
        <f t="shared" ref="J8:J9" si="1">IFERROR(VLOOKUP($J$5,$B$6:$G$20,MATCH($I8,$B$5:$G$5,0)),"")</f>
        <v>45.694400000000002</v>
      </c>
    </row>
    <row r="9" spans="2:14">
      <c r="B9" s="132">
        <v>4</v>
      </c>
      <c r="C9" s="133">
        <v>0.51380000000000003</v>
      </c>
      <c r="D9" s="133">
        <v>45.6813</v>
      </c>
      <c r="E9" s="137">
        <v>45.306100000000001</v>
      </c>
      <c r="F9" s="135">
        <f t="shared" ref="F9:F20" si="2">D9-E9</f>
        <v>0.37519999999999953</v>
      </c>
      <c r="G9" s="181">
        <f t="shared" si="0"/>
        <v>10.033569482288817</v>
      </c>
      <c r="I9" s="272" t="s">
        <v>8</v>
      </c>
      <c r="J9" s="112">
        <f t="shared" si="1"/>
        <v>0.52880000000000005</v>
      </c>
    </row>
    <row r="10" spans="2:14">
      <c r="B10" s="116">
        <v>5</v>
      </c>
      <c r="C10" s="65">
        <v>0.58220000000000005</v>
      </c>
      <c r="D10" s="65">
        <v>45.935200000000002</v>
      </c>
      <c r="E10" s="65">
        <v>45.555199999999999</v>
      </c>
      <c r="F10" s="122">
        <f t="shared" si="2"/>
        <v>0.38000000000000256</v>
      </c>
      <c r="G10" s="139">
        <f t="shared" si="0"/>
        <v>8.9680522157334845</v>
      </c>
      <c r="I10" s="270" t="s">
        <v>301</v>
      </c>
      <c r="J10" s="112">
        <v>1</v>
      </c>
    </row>
    <row r="11" spans="2:14" ht="15" thickBot="1">
      <c r="B11" s="132">
        <v>6</v>
      </c>
      <c r="C11" s="137"/>
      <c r="D11" s="137"/>
      <c r="E11" s="137"/>
      <c r="F11" s="135">
        <f t="shared" si="2"/>
        <v>0</v>
      </c>
      <c r="G11" s="181" t="str">
        <f t="shared" si="0"/>
        <v/>
      </c>
      <c r="I11" s="269" t="s">
        <v>179</v>
      </c>
      <c r="J11" s="274">
        <v>1</v>
      </c>
    </row>
    <row r="12" spans="2:14">
      <c r="B12" s="116">
        <v>7</v>
      </c>
      <c r="C12" s="65">
        <v>0.61839999999999995</v>
      </c>
      <c r="D12" s="65">
        <v>45.6477</v>
      </c>
      <c r="E12" s="65">
        <v>45.306699999999999</v>
      </c>
      <c r="F12" s="122">
        <f t="shared" si="2"/>
        <v>0.34100000000000108</v>
      </c>
      <c r="G12" s="139">
        <f t="shared" si="0"/>
        <v>7.5765523932729879</v>
      </c>
    </row>
    <row r="13" spans="2:14">
      <c r="B13" s="132">
        <v>8</v>
      </c>
      <c r="C13" s="137">
        <v>0.51849999999999996</v>
      </c>
      <c r="D13" s="133">
        <v>45.628900000000002</v>
      </c>
      <c r="E13" s="137">
        <v>45.220399999999998</v>
      </c>
      <c r="F13" s="135">
        <f t="shared" si="2"/>
        <v>0.40850000000000364</v>
      </c>
      <c r="G13" s="181">
        <f t="shared" si="0"/>
        <v>10.825053037608583</v>
      </c>
    </row>
    <row r="14" spans="2:14">
      <c r="B14" s="116">
        <v>9</v>
      </c>
      <c r="C14" s="65">
        <v>0.54410000000000003</v>
      </c>
      <c r="D14" s="65">
        <v>45.001899999999999</v>
      </c>
      <c r="E14" s="65">
        <v>44.574800000000003</v>
      </c>
      <c r="F14" s="122">
        <f t="shared" si="2"/>
        <v>0.42709999999999582</v>
      </c>
      <c r="G14" s="139">
        <f t="shared" si="0"/>
        <v>10.785432824848266</v>
      </c>
    </row>
    <row r="15" spans="2:14">
      <c r="B15" s="132">
        <v>10</v>
      </c>
      <c r="C15" s="137"/>
      <c r="D15" s="137"/>
      <c r="E15" s="137"/>
      <c r="F15" s="135">
        <f t="shared" si="2"/>
        <v>0</v>
      </c>
      <c r="G15" s="181" t="str">
        <f t="shared" si="0"/>
        <v/>
      </c>
    </row>
    <row r="16" spans="2:14">
      <c r="B16" s="116">
        <v>11</v>
      </c>
      <c r="C16" s="65">
        <v>0.4395</v>
      </c>
      <c r="D16" s="65">
        <v>44.915199999999999</v>
      </c>
      <c r="E16" s="65">
        <v>44.509599999999999</v>
      </c>
      <c r="F16" s="122">
        <f t="shared" si="2"/>
        <v>0.40559999999999974</v>
      </c>
      <c r="G16" s="139">
        <f t="shared" si="0"/>
        <v>12.680191126279855</v>
      </c>
    </row>
    <row r="17" spans="2:7">
      <c r="B17" s="132">
        <v>12</v>
      </c>
      <c r="C17" s="137">
        <v>0.43830000000000002</v>
      </c>
      <c r="D17" s="137">
        <v>44.988100000000003</v>
      </c>
      <c r="E17" s="137">
        <v>44.574800000000003</v>
      </c>
      <c r="F17" s="135">
        <f t="shared" si="2"/>
        <v>0.41329999999999956</v>
      </c>
      <c r="G17" s="181">
        <f t="shared" si="0"/>
        <v>12.956290212183422</v>
      </c>
    </row>
    <row r="18" spans="2:7">
      <c r="B18" s="116">
        <v>13</v>
      </c>
      <c r="C18" s="65"/>
      <c r="D18" s="127"/>
      <c r="E18" s="65"/>
      <c r="F18" s="122">
        <f t="shared" si="2"/>
        <v>0</v>
      </c>
      <c r="G18" s="139" t="str">
        <f t="shared" si="0"/>
        <v/>
      </c>
    </row>
    <row r="19" spans="2:7">
      <c r="B19" s="132">
        <v>14</v>
      </c>
      <c r="C19" s="137">
        <v>0.45579999999999998</v>
      </c>
      <c r="D19" s="137">
        <v>44.959800000000001</v>
      </c>
      <c r="E19" s="137">
        <v>44.5794</v>
      </c>
      <c r="F19" s="135">
        <f t="shared" si="2"/>
        <v>0.38040000000000163</v>
      </c>
      <c r="G19" s="181">
        <f t="shared" si="0"/>
        <v>11.467082053532302</v>
      </c>
    </row>
    <row r="20" spans="2:7" ht="15" thickBot="1">
      <c r="B20" s="119">
        <v>15</v>
      </c>
      <c r="C20" s="67"/>
      <c r="D20" s="67"/>
      <c r="E20" s="67"/>
      <c r="F20" s="125">
        <f t="shared" si="2"/>
        <v>0</v>
      </c>
      <c r="G20" s="140" t="str">
        <f t="shared" si="0"/>
        <v/>
      </c>
    </row>
  </sheetData>
  <mergeCells count="1">
    <mergeCell ref="B4:G4"/>
  </mergeCells>
  <conditionalFormatting sqref="B6:G20">
    <cfRule type="expression" dxfId="11" priority="1">
      <formula>IF($B6=$J$5,TRUE,FALSE)</formula>
    </cfRule>
  </conditionalFormatting>
  <pageMargins left="0.511811024" right="0.511811024" top="0.78740157499999996" bottom="0.78740157499999996" header="0.31496062000000002" footer="0.31496062000000002"/>
  <pageSetup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CopiarEColar">
                <anchor moveWithCells="1">
                  <from>
                    <xdr:col>7</xdr:col>
                    <xdr:colOff>381000</xdr:colOff>
                    <xdr:row>2</xdr:row>
                    <xdr:rowOff>120650</xdr:rowOff>
                  </from>
                  <to>
                    <xdr:col>9</xdr:col>
                    <xdr:colOff>673100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9A2F8-68E3-4910-8EA4-746A798C7FE0}">
  <sheetPr codeName="Planilha6"/>
  <dimension ref="B1:P20"/>
  <sheetViews>
    <sheetView showGridLines="0" topLeftCell="A2" zoomScale="115" zoomScaleNormal="115" workbookViewId="0">
      <selection activeCell="H7" sqref="H7"/>
    </sheetView>
  </sheetViews>
  <sheetFormatPr defaultRowHeight="14.5"/>
  <cols>
    <col min="1" max="1" width="4.6328125" customWidth="1"/>
    <col min="2" max="2" width="4.6328125" style="115" customWidth="1"/>
    <col min="3" max="10" width="8.54296875" style="115" customWidth="1"/>
    <col min="11" max="11" width="10.1796875" style="115" customWidth="1"/>
    <col min="12" max="12" width="8.54296875" style="115" customWidth="1"/>
    <col min="13" max="13" width="10.08984375" style="115" bestFit="1" customWidth="1"/>
    <col min="14" max="14" width="5.26953125" customWidth="1"/>
    <col min="15" max="15" width="11.26953125" customWidth="1"/>
    <col min="16" max="16" width="9.36328125" customWidth="1"/>
  </cols>
  <sheetData>
    <row r="1" spans="2:16" ht="19" hidden="1" customHeight="1">
      <c r="B1"/>
      <c r="C1"/>
      <c r="D1"/>
      <c r="E1"/>
      <c r="F1"/>
      <c r="G1"/>
      <c r="H1"/>
      <c r="I1"/>
      <c r="K1"/>
      <c r="L1" s="263">
        <v>1</v>
      </c>
      <c r="M1" s="263">
        <v>3</v>
      </c>
      <c r="N1" s="191" t="s">
        <v>299</v>
      </c>
    </row>
    <row r="3" spans="2:16" ht="15" thickBot="1"/>
    <row r="4" spans="2:16" ht="15" thickBot="1">
      <c r="B4" s="351" t="s">
        <v>23</v>
      </c>
      <c r="C4" s="352"/>
      <c r="D4" s="352"/>
      <c r="E4" s="352"/>
      <c r="F4" s="352"/>
      <c r="G4" s="352"/>
      <c r="H4" s="352"/>
      <c r="I4" s="352"/>
      <c r="J4" s="352"/>
      <c r="K4" s="352"/>
      <c r="L4" s="352"/>
      <c r="M4" s="353"/>
    </row>
    <row r="5" spans="2:16" ht="15" thickBot="1">
      <c r="B5" s="165" t="s">
        <v>24</v>
      </c>
      <c r="C5" s="166" t="s">
        <v>308</v>
      </c>
      <c r="D5" s="167" t="s">
        <v>309</v>
      </c>
      <c r="E5" s="130" t="s">
        <v>310</v>
      </c>
      <c r="F5" s="130" t="s">
        <v>306</v>
      </c>
      <c r="G5" s="130" t="s">
        <v>17</v>
      </c>
      <c r="H5" s="130" t="s">
        <v>8</v>
      </c>
      <c r="I5" s="130" t="s">
        <v>317</v>
      </c>
      <c r="J5" s="130" t="s">
        <v>313</v>
      </c>
      <c r="K5" s="130" t="s">
        <v>314</v>
      </c>
      <c r="L5" s="130" t="s">
        <v>315</v>
      </c>
      <c r="M5" s="131" t="s">
        <v>318</v>
      </c>
      <c r="O5" s="141" t="s">
        <v>1</v>
      </c>
      <c r="P5" s="275">
        <v>1</v>
      </c>
    </row>
    <row r="6" spans="2:16" ht="15" thickBot="1">
      <c r="B6" s="116">
        <v>1</v>
      </c>
      <c r="C6" s="65">
        <v>250</v>
      </c>
      <c r="D6" s="65">
        <v>100</v>
      </c>
      <c r="E6" s="117">
        <f>IFERROR(C6/D6,"")</f>
        <v>2.5</v>
      </c>
      <c r="F6" s="65">
        <v>10</v>
      </c>
      <c r="G6" s="94">
        <v>4.1100000000000003</v>
      </c>
      <c r="H6" s="65">
        <v>1.008</v>
      </c>
      <c r="I6" s="123">
        <f>IFERROR((G6*E6)/(F6)/(H6),"")</f>
        <v>1.0193452380952381</v>
      </c>
      <c r="J6" s="65">
        <v>1.5</v>
      </c>
      <c r="K6" s="65">
        <v>1.53</v>
      </c>
      <c r="L6" s="123">
        <f>IFERROR(ROUND((J6/K6),4),"")</f>
        <v>0.98040000000000005</v>
      </c>
      <c r="M6" s="171">
        <f>IFERROR(ROUND((L6*I6),4),"")</f>
        <v>0.99939999999999996</v>
      </c>
      <c r="P6" s="115"/>
    </row>
    <row r="7" spans="2:16">
      <c r="B7" s="116">
        <v>2</v>
      </c>
      <c r="C7" s="65">
        <v>250</v>
      </c>
      <c r="D7" s="65">
        <v>100</v>
      </c>
      <c r="E7" s="117">
        <f t="shared" ref="E7:E8" si="0">IFERROR(C7/D7,"")</f>
        <v>2.5</v>
      </c>
      <c r="F7" s="65">
        <v>20</v>
      </c>
      <c r="G7" s="65">
        <v>1.62</v>
      </c>
      <c r="H7" s="65">
        <v>1.006</v>
      </c>
      <c r="I7" s="123">
        <f t="shared" ref="I7:I20" si="1">IFERROR((G7*E7)/(F7)/(H7),"")</f>
        <v>0.2012922465208748</v>
      </c>
      <c r="J7" s="65">
        <v>1.5</v>
      </c>
      <c r="K7" s="65">
        <v>1.55</v>
      </c>
      <c r="L7" s="123">
        <f t="shared" ref="L7:L16" si="2">IFERROR(ROUND((J7/K7),4),"")</f>
        <v>0.9677</v>
      </c>
      <c r="M7" s="171">
        <f t="shared" ref="M7:M20" si="3">IFERROR(ROUND((L7*I7),4),"")</f>
        <v>0.1948</v>
      </c>
      <c r="O7" s="166" t="s">
        <v>308</v>
      </c>
      <c r="P7" s="273">
        <f>IFERROR(VLOOKUP($P$5,$B$6:$M$19,MATCH($O7,$B$5:$M$5,0)),"")</f>
        <v>250</v>
      </c>
    </row>
    <row r="8" spans="2:16">
      <c r="B8" s="163">
        <v>3</v>
      </c>
      <c r="C8" s="65">
        <v>250</v>
      </c>
      <c r="D8" s="65">
        <v>100</v>
      </c>
      <c r="E8" s="117">
        <f t="shared" si="0"/>
        <v>2.5</v>
      </c>
      <c r="F8" s="65">
        <v>7</v>
      </c>
      <c r="G8" s="65">
        <v>1.99</v>
      </c>
      <c r="H8" s="65">
        <v>1.0022</v>
      </c>
      <c r="I8" s="123">
        <f t="shared" si="1"/>
        <v>0.70915414659178377</v>
      </c>
      <c r="J8" s="65">
        <v>1.5</v>
      </c>
      <c r="K8" s="65">
        <v>1.44</v>
      </c>
      <c r="L8" s="123">
        <f t="shared" si="2"/>
        <v>1.0417000000000001</v>
      </c>
      <c r="M8" s="171">
        <f t="shared" si="3"/>
        <v>0.73870000000000002</v>
      </c>
      <c r="O8" s="130" t="s">
        <v>306</v>
      </c>
      <c r="P8" s="112">
        <f t="shared" ref="P8:P12" si="4">IFERROR(VLOOKUP($P$5,$B$6:$M$19,MATCH($O8,$B$5:$M$5,0)),"")</f>
        <v>10</v>
      </c>
    </row>
    <row r="9" spans="2:16">
      <c r="B9" s="116">
        <v>4</v>
      </c>
      <c r="C9" s="65"/>
      <c r="D9" s="65"/>
      <c r="E9" s="117" t="str">
        <f t="shared" ref="E9:E20" si="5">IFERROR(C9/D9,"")</f>
        <v/>
      </c>
      <c r="F9" s="65"/>
      <c r="G9" s="65"/>
      <c r="H9" s="65"/>
      <c r="I9" s="123" t="str">
        <f t="shared" si="1"/>
        <v/>
      </c>
      <c r="J9" s="65"/>
      <c r="K9" s="65"/>
      <c r="L9" s="123" t="str">
        <f t="shared" si="2"/>
        <v/>
      </c>
      <c r="M9" s="171" t="str">
        <f t="shared" si="3"/>
        <v/>
      </c>
      <c r="O9" s="130" t="s">
        <v>17</v>
      </c>
      <c r="P9" s="112">
        <f t="shared" si="4"/>
        <v>4.1100000000000003</v>
      </c>
    </row>
    <row r="10" spans="2:16">
      <c r="B10" s="163">
        <v>5</v>
      </c>
      <c r="C10" s="65"/>
      <c r="D10" s="65"/>
      <c r="E10" s="117" t="str">
        <f t="shared" si="5"/>
        <v/>
      </c>
      <c r="F10" s="65"/>
      <c r="G10" s="65"/>
      <c r="H10" s="65"/>
      <c r="I10" s="123" t="str">
        <f t="shared" si="1"/>
        <v/>
      </c>
      <c r="J10" s="65"/>
      <c r="K10" s="65"/>
      <c r="L10" s="123" t="str">
        <f t="shared" si="2"/>
        <v/>
      </c>
      <c r="M10" s="171" t="str">
        <f t="shared" si="3"/>
        <v/>
      </c>
      <c r="O10" s="130" t="s">
        <v>8</v>
      </c>
      <c r="P10" s="112">
        <f t="shared" si="4"/>
        <v>1.008</v>
      </c>
    </row>
    <row r="11" spans="2:16">
      <c r="B11" s="116">
        <v>6</v>
      </c>
      <c r="C11" s="65"/>
      <c r="D11" s="65"/>
      <c r="E11" s="117" t="str">
        <f t="shared" si="5"/>
        <v/>
      </c>
      <c r="F11" s="65"/>
      <c r="G11" s="65"/>
      <c r="H11" s="65"/>
      <c r="I11" s="123" t="str">
        <f t="shared" si="1"/>
        <v/>
      </c>
      <c r="J11" s="65"/>
      <c r="K11" s="65"/>
      <c r="L11" s="123" t="str">
        <f t="shared" si="2"/>
        <v/>
      </c>
      <c r="M11" s="171" t="str">
        <f t="shared" si="3"/>
        <v/>
      </c>
      <c r="O11" s="130" t="s">
        <v>315</v>
      </c>
      <c r="P11" s="319">
        <f t="shared" si="4"/>
        <v>0.98040000000000005</v>
      </c>
    </row>
    <row r="12" spans="2:16" ht="15" thickBot="1">
      <c r="B12" s="163">
        <v>7</v>
      </c>
      <c r="C12" s="65"/>
      <c r="D12" s="65"/>
      <c r="E12" s="117" t="str">
        <f t="shared" si="5"/>
        <v/>
      </c>
      <c r="F12" s="65"/>
      <c r="G12" s="65"/>
      <c r="H12" s="65"/>
      <c r="I12" s="123" t="str">
        <f t="shared" si="1"/>
        <v/>
      </c>
      <c r="J12" s="65"/>
      <c r="K12" s="65"/>
      <c r="L12" s="123" t="str">
        <f t="shared" si="2"/>
        <v/>
      </c>
      <c r="M12" s="171" t="str">
        <f t="shared" si="3"/>
        <v/>
      </c>
      <c r="O12" s="131" t="s">
        <v>318</v>
      </c>
      <c r="P12" s="320">
        <f t="shared" si="4"/>
        <v>0.99939999999999996</v>
      </c>
    </row>
    <row r="13" spans="2:16">
      <c r="B13" s="116">
        <v>8</v>
      </c>
      <c r="C13" s="65"/>
      <c r="D13" s="65"/>
      <c r="E13" s="117" t="str">
        <f t="shared" si="5"/>
        <v/>
      </c>
      <c r="F13" s="65"/>
      <c r="G13" s="65"/>
      <c r="H13" s="65"/>
      <c r="I13" s="123" t="str">
        <f t="shared" si="1"/>
        <v/>
      </c>
      <c r="J13" s="65"/>
      <c r="K13" s="65"/>
      <c r="L13" s="123" t="str">
        <f t="shared" si="2"/>
        <v/>
      </c>
      <c r="M13" s="171" t="str">
        <f t="shared" si="3"/>
        <v/>
      </c>
    </row>
    <row r="14" spans="2:16">
      <c r="B14" s="163">
        <v>9</v>
      </c>
      <c r="C14" s="65">
        <v>250</v>
      </c>
      <c r="D14" s="65">
        <v>100</v>
      </c>
      <c r="E14" s="117">
        <f t="shared" si="5"/>
        <v>2.5</v>
      </c>
      <c r="F14" s="65">
        <v>25</v>
      </c>
      <c r="G14" s="65">
        <v>0.91</v>
      </c>
      <c r="H14" s="65">
        <v>0.51149999999999995</v>
      </c>
      <c r="I14" s="123">
        <f t="shared" si="1"/>
        <v>0.17790811339198437</v>
      </c>
      <c r="J14" s="65">
        <v>1.5</v>
      </c>
      <c r="K14" s="65">
        <v>1.6</v>
      </c>
      <c r="L14" s="123">
        <f t="shared" si="2"/>
        <v>0.9375</v>
      </c>
      <c r="M14" s="171">
        <f t="shared" si="3"/>
        <v>0.1668</v>
      </c>
    </row>
    <row r="15" spans="2:16">
      <c r="B15" s="116">
        <v>10</v>
      </c>
      <c r="C15" s="65">
        <v>250</v>
      </c>
      <c r="D15" s="65">
        <v>100</v>
      </c>
      <c r="E15" s="117">
        <f t="shared" si="5"/>
        <v>2.5</v>
      </c>
      <c r="F15" s="65">
        <v>25</v>
      </c>
      <c r="G15" s="65">
        <v>0.91</v>
      </c>
      <c r="H15" s="65">
        <v>0.52170000000000005</v>
      </c>
      <c r="I15" s="123">
        <f t="shared" si="1"/>
        <v>0.17442974889783397</v>
      </c>
      <c r="J15" s="65">
        <v>1.5</v>
      </c>
      <c r="K15" s="65">
        <v>1.6</v>
      </c>
      <c r="L15" s="123">
        <f t="shared" si="2"/>
        <v>0.9375</v>
      </c>
      <c r="M15" s="171">
        <f t="shared" si="3"/>
        <v>0.16350000000000001</v>
      </c>
    </row>
    <row r="16" spans="2:16">
      <c r="B16" s="163">
        <v>11</v>
      </c>
      <c r="C16" s="65">
        <v>250</v>
      </c>
      <c r="D16" s="65">
        <v>100</v>
      </c>
      <c r="E16" s="117">
        <f t="shared" si="5"/>
        <v>2.5</v>
      </c>
      <c r="F16" s="65">
        <v>5</v>
      </c>
      <c r="G16" s="65">
        <v>1.72</v>
      </c>
      <c r="H16" s="65">
        <v>1.0214000000000001</v>
      </c>
      <c r="I16" s="256">
        <f t="shared" si="1"/>
        <v>0.84198159389073812</v>
      </c>
      <c r="J16" s="65">
        <v>1.5</v>
      </c>
      <c r="K16" s="65">
        <v>1.49</v>
      </c>
      <c r="L16" s="123">
        <f t="shared" si="2"/>
        <v>1.0066999999999999</v>
      </c>
      <c r="M16" s="171">
        <f t="shared" si="3"/>
        <v>0.84760000000000002</v>
      </c>
    </row>
    <row r="17" spans="2:13">
      <c r="B17" s="116">
        <v>12</v>
      </c>
      <c r="C17" s="65"/>
      <c r="D17" s="65"/>
      <c r="E17" s="117" t="str">
        <f t="shared" si="5"/>
        <v/>
      </c>
      <c r="F17" s="65"/>
      <c r="G17" s="65">
        <v>1</v>
      </c>
      <c r="H17" s="65"/>
      <c r="I17" s="123" t="str">
        <f t="shared" si="1"/>
        <v/>
      </c>
      <c r="J17" s="65"/>
      <c r="K17" s="65"/>
      <c r="L17" s="123" t="str">
        <f t="shared" ref="L17:L20" si="6">IFERROR(J17/K17,"")</f>
        <v/>
      </c>
      <c r="M17" s="171" t="str">
        <f t="shared" si="3"/>
        <v/>
      </c>
    </row>
    <row r="18" spans="2:13">
      <c r="B18" s="163">
        <v>13</v>
      </c>
      <c r="C18" s="65"/>
      <c r="D18" s="65"/>
      <c r="E18" s="117" t="str">
        <f t="shared" si="5"/>
        <v/>
      </c>
      <c r="F18" s="65"/>
      <c r="G18" s="65"/>
      <c r="H18" s="65"/>
      <c r="I18" s="123" t="str">
        <f t="shared" si="1"/>
        <v/>
      </c>
      <c r="J18" s="65"/>
      <c r="K18" s="65"/>
      <c r="L18" s="123" t="str">
        <f t="shared" si="6"/>
        <v/>
      </c>
      <c r="M18" s="171" t="str">
        <f t="shared" si="3"/>
        <v/>
      </c>
    </row>
    <row r="19" spans="2:13">
      <c r="B19" s="116">
        <v>14</v>
      </c>
      <c r="C19" s="65"/>
      <c r="D19" s="65"/>
      <c r="E19" s="117" t="str">
        <f t="shared" si="5"/>
        <v/>
      </c>
      <c r="F19" s="65">
        <v>1.0751999999999999</v>
      </c>
      <c r="G19" s="65"/>
      <c r="H19" s="65"/>
      <c r="I19" s="123" t="str">
        <f t="shared" si="1"/>
        <v/>
      </c>
      <c r="J19" s="65"/>
      <c r="K19" s="65"/>
      <c r="L19" s="123" t="str">
        <f t="shared" si="6"/>
        <v/>
      </c>
      <c r="M19" s="171" t="str">
        <f t="shared" si="3"/>
        <v/>
      </c>
    </row>
    <row r="20" spans="2:13" ht="15" thickBot="1">
      <c r="B20" s="164">
        <v>15</v>
      </c>
      <c r="C20" s="67"/>
      <c r="D20" s="67"/>
      <c r="E20" s="120" t="str">
        <f t="shared" si="5"/>
        <v/>
      </c>
      <c r="F20" s="67"/>
      <c r="G20" s="67"/>
      <c r="H20" s="67"/>
      <c r="I20" s="126" t="str">
        <f t="shared" si="1"/>
        <v/>
      </c>
      <c r="J20" s="67"/>
      <c r="K20" s="67"/>
      <c r="L20" s="126" t="str">
        <f t="shared" si="6"/>
        <v/>
      </c>
      <c r="M20" s="177" t="str">
        <f t="shared" si="3"/>
        <v/>
      </c>
    </row>
  </sheetData>
  <mergeCells count="1">
    <mergeCell ref="B4:M4"/>
  </mergeCells>
  <conditionalFormatting sqref="B6:M20">
    <cfRule type="expression" dxfId="10" priority="1">
      <formula>IF($B6=$P$5,TRUE,FALSE)</formula>
    </cfRule>
  </conditionalFormatting>
  <pageMargins left="0.511811024" right="0.511811024" top="0.78740157499999996" bottom="0.78740157499999996" header="0.31496062000000002" footer="0.31496062000000002"/>
  <pageSetup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opiarEColar">
                <anchor moveWithCells="1">
                  <from>
                    <xdr:col>13</xdr:col>
                    <xdr:colOff>368300</xdr:colOff>
                    <xdr:row>2</xdr:row>
                    <xdr:rowOff>107950</xdr:rowOff>
                  </from>
                  <to>
                    <xdr:col>16</xdr:col>
                    <xdr:colOff>12700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B4764-1EDA-4BFE-BF8E-3712848F600B}">
  <sheetPr codeName="Planilha7"/>
  <dimension ref="B1:O23"/>
  <sheetViews>
    <sheetView showGridLines="0" topLeftCell="A2" zoomScale="115" zoomScaleNormal="115" workbookViewId="0">
      <selection activeCell="H6" sqref="H6"/>
    </sheetView>
  </sheetViews>
  <sheetFormatPr defaultRowHeight="14.5"/>
  <cols>
    <col min="1" max="1" width="4.6328125" customWidth="1"/>
    <col min="2" max="2" width="4.6328125" style="115" customWidth="1"/>
    <col min="4" max="5" width="9.1796875" style="115"/>
    <col min="6" max="6" width="13.6328125" style="115" bestFit="1" customWidth="1"/>
    <col min="7" max="7" width="11.54296875" style="115" customWidth="1"/>
    <col min="8" max="8" width="9.81640625" style="115" customWidth="1"/>
    <col min="9" max="9" width="4.81640625" style="115" customWidth="1"/>
    <col min="10" max="10" width="9.453125" customWidth="1"/>
    <col min="11" max="11" width="11" customWidth="1"/>
  </cols>
  <sheetData>
    <row r="1" spans="2:15" ht="8" hidden="1" customHeight="1">
      <c r="B1"/>
      <c r="D1"/>
      <c r="E1"/>
      <c r="F1"/>
      <c r="G1"/>
      <c r="H1"/>
      <c r="I1"/>
      <c r="K1" s="115"/>
      <c r="M1" s="263">
        <v>1</v>
      </c>
      <c r="N1" s="263">
        <v>3</v>
      </c>
      <c r="O1" s="191" t="s">
        <v>299</v>
      </c>
    </row>
    <row r="3" spans="2:15" ht="15" thickBot="1"/>
    <row r="4" spans="2:15" ht="15" thickBot="1">
      <c r="B4" s="355" t="s">
        <v>25</v>
      </c>
      <c r="C4" s="356"/>
      <c r="D4" s="356"/>
      <c r="E4" s="356"/>
      <c r="F4" s="356"/>
      <c r="G4" s="356"/>
      <c r="H4" s="357"/>
    </row>
    <row r="5" spans="2:15" s="284" customFormat="1" ht="15" thickBot="1">
      <c r="B5" s="313" t="s">
        <v>24</v>
      </c>
      <c r="C5" s="314" t="s">
        <v>26</v>
      </c>
      <c r="D5" s="315" t="s">
        <v>27</v>
      </c>
      <c r="E5" s="315" t="s">
        <v>28</v>
      </c>
      <c r="F5" s="315" t="s">
        <v>29</v>
      </c>
      <c r="G5" s="315" t="s">
        <v>68</v>
      </c>
      <c r="H5" s="316" t="s">
        <v>30</v>
      </c>
      <c r="I5" s="283"/>
      <c r="J5" s="141" t="s">
        <v>1</v>
      </c>
      <c r="K5" s="275">
        <v>1</v>
      </c>
    </row>
    <row r="6" spans="2:15" ht="15" thickBot="1">
      <c r="B6" s="116">
        <v>1</v>
      </c>
      <c r="C6" s="66">
        <v>1.5017</v>
      </c>
      <c r="D6" s="66">
        <v>50</v>
      </c>
      <c r="E6" s="66">
        <v>4.51</v>
      </c>
      <c r="F6" s="329">
        <v>2.6620000000000001E-2</v>
      </c>
      <c r="G6" s="317">
        <f>IF(C6="","",(C6/250)*D6)</f>
        <v>0.30034000000000005</v>
      </c>
      <c r="H6" s="318">
        <f>IFERROR(ROUND((F6*E6)/G6,2),"")</f>
        <v>0.4</v>
      </c>
      <c r="K6" s="115"/>
    </row>
    <row r="7" spans="2:15">
      <c r="B7" s="132">
        <v>2</v>
      </c>
      <c r="C7" s="137">
        <v>1.0253000000000001</v>
      </c>
      <c r="D7" s="137">
        <v>5</v>
      </c>
      <c r="E7" s="137">
        <v>14.14</v>
      </c>
      <c r="F7" s="138">
        <v>2.4199999999999999E-2</v>
      </c>
      <c r="G7" s="174">
        <f t="shared" ref="G7:G14" si="0">IF(C7="","",(C7/250)*D7)</f>
        <v>2.0506E-2</v>
      </c>
      <c r="H7" s="136">
        <f t="shared" ref="H7:H14" si="1">IFERROR(ROUND((F7*E7)/G7,2),"")</f>
        <v>16.690000000000001</v>
      </c>
      <c r="J7" s="278" t="s">
        <v>26</v>
      </c>
      <c r="K7" s="273">
        <f>IFERROR(VLOOKUP($K$5,$B$6:$H$14,MATCH($J7,$B$5:$H$5,0)),"")</f>
        <v>1.5017</v>
      </c>
    </row>
    <row r="8" spans="2:15">
      <c r="B8" s="163">
        <v>3</v>
      </c>
      <c r="C8" s="65">
        <v>1.0119</v>
      </c>
      <c r="D8" s="65">
        <v>5</v>
      </c>
      <c r="E8" s="65">
        <v>13.02</v>
      </c>
      <c r="F8" s="117">
        <v>2.4199999999999999E-2</v>
      </c>
      <c r="G8" s="173">
        <f t="shared" si="0"/>
        <v>2.0237999999999999E-2</v>
      </c>
      <c r="H8" s="118">
        <f t="shared" si="1"/>
        <v>15.57</v>
      </c>
      <c r="J8" s="129" t="s">
        <v>27</v>
      </c>
      <c r="K8" s="112">
        <f t="shared" ref="K8:K11" si="2">IFERROR(VLOOKUP($K$5,$B$6:$H$14,MATCH($J8,$B$5:$H$5,0)),"")</f>
        <v>50</v>
      </c>
    </row>
    <row r="9" spans="2:15">
      <c r="B9" s="132">
        <v>4</v>
      </c>
      <c r="C9" s="137">
        <v>1.0051000000000001</v>
      </c>
      <c r="D9" s="137">
        <v>5</v>
      </c>
      <c r="E9" s="137">
        <v>12.92</v>
      </c>
      <c r="F9" s="138">
        <v>2.4199999999999999E-2</v>
      </c>
      <c r="G9" s="174">
        <f t="shared" si="0"/>
        <v>2.0102000000000002E-2</v>
      </c>
      <c r="H9" s="136">
        <f t="shared" si="1"/>
        <v>15.55</v>
      </c>
      <c r="J9" s="129" t="s">
        <v>28</v>
      </c>
      <c r="K9" s="112">
        <f t="shared" si="2"/>
        <v>4.51</v>
      </c>
    </row>
    <row r="10" spans="2:15">
      <c r="B10" s="163">
        <v>5</v>
      </c>
      <c r="C10" s="65"/>
      <c r="D10" s="65"/>
      <c r="E10" s="65"/>
      <c r="F10" s="117">
        <v>2.4199999999999999E-2</v>
      </c>
      <c r="G10" s="173" t="str">
        <f t="shared" si="0"/>
        <v/>
      </c>
      <c r="H10" s="118" t="str">
        <f t="shared" si="1"/>
        <v/>
      </c>
      <c r="J10" s="129" t="s">
        <v>68</v>
      </c>
      <c r="K10" s="319">
        <f t="shared" si="2"/>
        <v>0.30034000000000005</v>
      </c>
    </row>
    <row r="11" spans="2:15" ht="15" thickBot="1">
      <c r="B11" s="132">
        <v>6</v>
      </c>
      <c r="C11" s="137"/>
      <c r="D11" s="137"/>
      <c r="E11" s="137"/>
      <c r="F11" s="138">
        <v>2.4199999999999999E-2</v>
      </c>
      <c r="G11" s="174" t="str">
        <f t="shared" si="0"/>
        <v/>
      </c>
      <c r="H11" s="136" t="str">
        <f t="shared" si="1"/>
        <v/>
      </c>
      <c r="J11" s="321" t="s">
        <v>30</v>
      </c>
      <c r="K11" s="320">
        <f t="shared" si="2"/>
        <v>0.4</v>
      </c>
    </row>
    <row r="12" spans="2:15">
      <c r="B12" s="163">
        <v>7</v>
      </c>
      <c r="C12" s="65">
        <v>1.0243</v>
      </c>
      <c r="D12" s="65">
        <v>10</v>
      </c>
      <c r="E12" s="65">
        <v>6.95</v>
      </c>
      <c r="F12" s="117">
        <v>2.4199999999999999E-2</v>
      </c>
      <c r="G12" s="173">
        <f t="shared" si="0"/>
        <v>4.0971999999999995E-2</v>
      </c>
      <c r="H12" s="118">
        <f t="shared" si="1"/>
        <v>4.0999999999999996</v>
      </c>
    </row>
    <row r="13" spans="2:15">
      <c r="B13" s="132">
        <v>8</v>
      </c>
      <c r="C13" s="137"/>
      <c r="D13" s="137"/>
      <c r="E13" s="137"/>
      <c r="F13" s="138">
        <v>2.4199999999999999E-2</v>
      </c>
      <c r="G13" s="174" t="str">
        <f t="shared" si="0"/>
        <v/>
      </c>
      <c r="H13" s="136" t="str">
        <f t="shared" si="1"/>
        <v/>
      </c>
    </row>
    <row r="14" spans="2:15" ht="15" thickBot="1">
      <c r="B14" s="164">
        <v>9</v>
      </c>
      <c r="C14" s="67"/>
      <c r="D14" s="67"/>
      <c r="E14" s="67"/>
      <c r="F14" s="120">
        <v>2.4199999999999999E-2</v>
      </c>
      <c r="G14" s="175" t="str">
        <f t="shared" si="0"/>
        <v/>
      </c>
      <c r="H14" s="121" t="str">
        <f t="shared" si="1"/>
        <v/>
      </c>
    </row>
    <row r="15" spans="2:15">
      <c r="B15"/>
    </row>
    <row r="16" spans="2:15">
      <c r="B16"/>
      <c r="H16" s="330"/>
    </row>
    <row r="17" spans="2:5">
      <c r="B17"/>
    </row>
    <row r="18" spans="2:5">
      <c r="B18"/>
    </row>
    <row r="19" spans="2:5">
      <c r="B19"/>
      <c r="D19" s="354" t="s">
        <v>25</v>
      </c>
      <c r="E19" s="354"/>
    </row>
    <row r="20" spans="2:5">
      <c r="D20" s="65" t="s">
        <v>184</v>
      </c>
      <c r="E20" s="34">
        <v>0.15740000000000001</v>
      </c>
    </row>
    <row r="21" spans="2:5">
      <c r="D21" s="137" t="s">
        <v>185</v>
      </c>
      <c r="E21" s="178">
        <v>0.1583</v>
      </c>
    </row>
    <row r="22" spans="2:5">
      <c r="D22" s="65" t="s">
        <v>186</v>
      </c>
      <c r="E22" s="22">
        <v>0.15440000000000001</v>
      </c>
    </row>
    <row r="23" spans="2:5">
      <c r="D23" s="137" t="s">
        <v>187</v>
      </c>
      <c r="E23" s="282">
        <v>0.1552</v>
      </c>
    </row>
  </sheetData>
  <mergeCells count="2">
    <mergeCell ref="D19:E19"/>
    <mergeCell ref="B4:H4"/>
  </mergeCells>
  <conditionalFormatting sqref="B7:B14">
    <cfRule type="expression" dxfId="9" priority="2">
      <formula>IF($B7=$P$5,TRUE,FALSE)</formula>
    </cfRule>
  </conditionalFormatting>
  <conditionalFormatting sqref="B6:H14">
    <cfRule type="expression" dxfId="8" priority="1">
      <formula>IF($B6=$K$5,TRUE,FALSE)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opiarEColar">
                <anchor moveWithCells="1">
                  <from>
                    <xdr:col>8</xdr:col>
                    <xdr:colOff>336550</xdr:colOff>
                    <xdr:row>2</xdr:row>
                    <xdr:rowOff>107950</xdr:rowOff>
                  </from>
                  <to>
                    <xdr:col>11</xdr:col>
                    <xdr:colOff>6350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FAFFF-DCC2-4CBE-A42F-FF78EB49A3CB}">
  <sheetPr codeName="Planilha14"/>
  <dimension ref="A1:AN54"/>
  <sheetViews>
    <sheetView showGridLines="0" zoomScale="115" zoomScaleNormal="115" workbookViewId="0">
      <selection activeCell="C22" sqref="C22"/>
    </sheetView>
  </sheetViews>
  <sheetFormatPr defaultRowHeight="12.5"/>
  <cols>
    <col min="1" max="1" width="9.1796875" style="194"/>
    <col min="2" max="2" width="17.26953125" style="194" customWidth="1"/>
    <col min="3" max="3" width="14.7265625" style="194" customWidth="1"/>
    <col min="4" max="4" width="19.81640625" style="194" bestFit="1" customWidth="1"/>
    <col min="5" max="5" width="19.54296875" style="194" customWidth="1"/>
    <col min="6" max="6" width="10.54296875" style="194" customWidth="1"/>
    <col min="7" max="7" width="9.1796875" style="194"/>
    <col min="8" max="8" width="11.1796875" style="194" customWidth="1"/>
    <col min="9" max="9" width="15" style="194" customWidth="1"/>
    <col min="10" max="10" width="2.90625" style="194" customWidth="1"/>
    <col min="11" max="11" width="2.7265625" style="194" customWidth="1"/>
    <col min="12" max="12" width="19" style="194" bestFit="1" customWidth="1"/>
    <col min="13" max="13" width="12.54296875" style="194" customWidth="1"/>
    <col min="14" max="14" width="13" style="194" customWidth="1"/>
    <col min="15" max="15" width="10" style="194" bestFit="1" customWidth="1"/>
    <col min="16" max="16" width="19.453125" style="194" bestFit="1" customWidth="1"/>
    <col min="17" max="17" width="9.81640625" style="194" bestFit="1" customWidth="1"/>
    <col min="18" max="18" width="15.54296875" style="194" customWidth="1"/>
    <col min="19" max="260" width="9.1796875" style="194"/>
    <col min="261" max="261" width="14.7265625" style="194" customWidth="1"/>
    <col min="262" max="262" width="13.81640625" style="194" customWidth="1"/>
    <col min="263" max="263" width="19.54296875" style="194" customWidth="1"/>
    <col min="264" max="264" width="10.54296875" style="194" customWidth="1"/>
    <col min="265" max="265" width="9.1796875" style="194"/>
    <col min="266" max="266" width="11.1796875" style="194" customWidth="1"/>
    <col min="267" max="268" width="19" style="194" bestFit="1" customWidth="1"/>
    <col min="269" max="271" width="9.1796875" style="194"/>
    <col min="272" max="272" width="19.453125" style="194" bestFit="1" customWidth="1"/>
    <col min="273" max="273" width="15.26953125" style="194" customWidth="1"/>
    <col min="274" max="516" width="9.1796875" style="194"/>
    <col min="517" max="517" width="14.7265625" style="194" customWidth="1"/>
    <col min="518" max="518" width="13.81640625" style="194" customWidth="1"/>
    <col min="519" max="519" width="19.54296875" style="194" customWidth="1"/>
    <col min="520" max="520" width="10.54296875" style="194" customWidth="1"/>
    <col min="521" max="521" width="9.1796875" style="194"/>
    <col min="522" max="522" width="11.1796875" style="194" customWidth="1"/>
    <col min="523" max="524" width="19" style="194" bestFit="1" customWidth="1"/>
    <col min="525" max="527" width="9.1796875" style="194"/>
    <col min="528" max="528" width="19.453125" style="194" bestFit="1" customWidth="1"/>
    <col min="529" max="529" width="15.26953125" style="194" customWidth="1"/>
    <col min="530" max="772" width="9.1796875" style="194"/>
    <col min="773" max="773" width="14.7265625" style="194" customWidth="1"/>
    <col min="774" max="774" width="13.81640625" style="194" customWidth="1"/>
    <col min="775" max="775" width="19.54296875" style="194" customWidth="1"/>
    <col min="776" max="776" width="10.54296875" style="194" customWidth="1"/>
    <col min="777" max="777" width="9.1796875" style="194"/>
    <col min="778" max="778" width="11.1796875" style="194" customWidth="1"/>
    <col min="779" max="780" width="19" style="194" bestFit="1" customWidth="1"/>
    <col min="781" max="783" width="9.1796875" style="194"/>
    <col min="784" max="784" width="19.453125" style="194" bestFit="1" customWidth="1"/>
    <col min="785" max="785" width="15.26953125" style="194" customWidth="1"/>
    <col min="786" max="1028" width="9.1796875" style="194"/>
    <col min="1029" max="1029" width="14.7265625" style="194" customWidth="1"/>
    <col min="1030" max="1030" width="13.81640625" style="194" customWidth="1"/>
    <col min="1031" max="1031" width="19.54296875" style="194" customWidth="1"/>
    <col min="1032" max="1032" width="10.54296875" style="194" customWidth="1"/>
    <col min="1033" max="1033" width="9.1796875" style="194"/>
    <col min="1034" max="1034" width="11.1796875" style="194" customWidth="1"/>
    <col min="1035" max="1036" width="19" style="194" bestFit="1" customWidth="1"/>
    <col min="1037" max="1039" width="9.1796875" style="194"/>
    <col min="1040" max="1040" width="19.453125" style="194" bestFit="1" customWidth="1"/>
    <col min="1041" max="1041" width="15.26953125" style="194" customWidth="1"/>
    <col min="1042" max="1284" width="9.1796875" style="194"/>
    <col min="1285" max="1285" width="14.7265625" style="194" customWidth="1"/>
    <col min="1286" max="1286" width="13.81640625" style="194" customWidth="1"/>
    <col min="1287" max="1287" width="19.54296875" style="194" customWidth="1"/>
    <col min="1288" max="1288" width="10.54296875" style="194" customWidth="1"/>
    <col min="1289" max="1289" width="9.1796875" style="194"/>
    <col min="1290" max="1290" width="11.1796875" style="194" customWidth="1"/>
    <col min="1291" max="1292" width="19" style="194" bestFit="1" customWidth="1"/>
    <col min="1293" max="1295" width="9.1796875" style="194"/>
    <col min="1296" max="1296" width="19.453125" style="194" bestFit="1" customWidth="1"/>
    <col min="1297" max="1297" width="15.26953125" style="194" customWidth="1"/>
    <col min="1298" max="1540" width="9.1796875" style="194"/>
    <col min="1541" max="1541" width="14.7265625" style="194" customWidth="1"/>
    <col min="1542" max="1542" width="13.81640625" style="194" customWidth="1"/>
    <col min="1543" max="1543" width="19.54296875" style="194" customWidth="1"/>
    <col min="1544" max="1544" width="10.54296875" style="194" customWidth="1"/>
    <col min="1545" max="1545" width="9.1796875" style="194"/>
    <col min="1546" max="1546" width="11.1796875" style="194" customWidth="1"/>
    <col min="1547" max="1548" width="19" style="194" bestFit="1" customWidth="1"/>
    <col min="1549" max="1551" width="9.1796875" style="194"/>
    <col min="1552" max="1552" width="19.453125" style="194" bestFit="1" customWidth="1"/>
    <col min="1553" max="1553" width="15.26953125" style="194" customWidth="1"/>
    <col min="1554" max="1796" width="9.1796875" style="194"/>
    <col min="1797" max="1797" width="14.7265625" style="194" customWidth="1"/>
    <col min="1798" max="1798" width="13.81640625" style="194" customWidth="1"/>
    <col min="1799" max="1799" width="19.54296875" style="194" customWidth="1"/>
    <col min="1800" max="1800" width="10.54296875" style="194" customWidth="1"/>
    <col min="1801" max="1801" width="9.1796875" style="194"/>
    <col min="1802" max="1802" width="11.1796875" style="194" customWidth="1"/>
    <col min="1803" max="1804" width="19" style="194" bestFit="1" customWidth="1"/>
    <col min="1805" max="1807" width="9.1796875" style="194"/>
    <col min="1808" max="1808" width="19.453125" style="194" bestFit="1" customWidth="1"/>
    <col min="1809" max="1809" width="15.26953125" style="194" customWidth="1"/>
    <col min="1810" max="2052" width="9.1796875" style="194"/>
    <col min="2053" max="2053" width="14.7265625" style="194" customWidth="1"/>
    <col min="2054" max="2054" width="13.81640625" style="194" customWidth="1"/>
    <col min="2055" max="2055" width="19.54296875" style="194" customWidth="1"/>
    <col min="2056" max="2056" width="10.54296875" style="194" customWidth="1"/>
    <col min="2057" max="2057" width="9.1796875" style="194"/>
    <col min="2058" max="2058" width="11.1796875" style="194" customWidth="1"/>
    <col min="2059" max="2060" width="19" style="194" bestFit="1" customWidth="1"/>
    <col min="2061" max="2063" width="9.1796875" style="194"/>
    <col min="2064" max="2064" width="19.453125" style="194" bestFit="1" customWidth="1"/>
    <col min="2065" max="2065" width="15.26953125" style="194" customWidth="1"/>
    <col min="2066" max="2308" width="9.1796875" style="194"/>
    <col min="2309" max="2309" width="14.7265625" style="194" customWidth="1"/>
    <col min="2310" max="2310" width="13.81640625" style="194" customWidth="1"/>
    <col min="2311" max="2311" width="19.54296875" style="194" customWidth="1"/>
    <col min="2312" max="2312" width="10.54296875" style="194" customWidth="1"/>
    <col min="2313" max="2313" width="9.1796875" style="194"/>
    <col min="2314" max="2314" width="11.1796875" style="194" customWidth="1"/>
    <col min="2315" max="2316" width="19" style="194" bestFit="1" customWidth="1"/>
    <col min="2317" max="2319" width="9.1796875" style="194"/>
    <col min="2320" max="2320" width="19.453125" style="194" bestFit="1" customWidth="1"/>
    <col min="2321" max="2321" width="15.26953125" style="194" customWidth="1"/>
    <col min="2322" max="2564" width="9.1796875" style="194"/>
    <col min="2565" max="2565" width="14.7265625" style="194" customWidth="1"/>
    <col min="2566" max="2566" width="13.81640625" style="194" customWidth="1"/>
    <col min="2567" max="2567" width="19.54296875" style="194" customWidth="1"/>
    <col min="2568" max="2568" width="10.54296875" style="194" customWidth="1"/>
    <col min="2569" max="2569" width="9.1796875" style="194"/>
    <col min="2570" max="2570" width="11.1796875" style="194" customWidth="1"/>
    <col min="2571" max="2572" width="19" style="194" bestFit="1" customWidth="1"/>
    <col min="2573" max="2575" width="9.1796875" style="194"/>
    <col min="2576" max="2576" width="19.453125" style="194" bestFit="1" customWidth="1"/>
    <col min="2577" max="2577" width="15.26953125" style="194" customWidth="1"/>
    <col min="2578" max="2820" width="9.1796875" style="194"/>
    <col min="2821" max="2821" width="14.7265625" style="194" customWidth="1"/>
    <col min="2822" max="2822" width="13.81640625" style="194" customWidth="1"/>
    <col min="2823" max="2823" width="19.54296875" style="194" customWidth="1"/>
    <col min="2824" max="2824" width="10.54296875" style="194" customWidth="1"/>
    <col min="2825" max="2825" width="9.1796875" style="194"/>
    <col min="2826" max="2826" width="11.1796875" style="194" customWidth="1"/>
    <col min="2827" max="2828" width="19" style="194" bestFit="1" customWidth="1"/>
    <col min="2829" max="2831" width="9.1796875" style="194"/>
    <col min="2832" max="2832" width="19.453125" style="194" bestFit="1" customWidth="1"/>
    <col min="2833" max="2833" width="15.26953125" style="194" customWidth="1"/>
    <col min="2834" max="3076" width="9.1796875" style="194"/>
    <col min="3077" max="3077" width="14.7265625" style="194" customWidth="1"/>
    <col min="3078" max="3078" width="13.81640625" style="194" customWidth="1"/>
    <col min="3079" max="3079" width="19.54296875" style="194" customWidth="1"/>
    <col min="3080" max="3080" width="10.54296875" style="194" customWidth="1"/>
    <col min="3081" max="3081" width="9.1796875" style="194"/>
    <col min="3082" max="3082" width="11.1796875" style="194" customWidth="1"/>
    <col min="3083" max="3084" width="19" style="194" bestFit="1" customWidth="1"/>
    <col min="3085" max="3087" width="9.1796875" style="194"/>
    <col min="3088" max="3088" width="19.453125" style="194" bestFit="1" customWidth="1"/>
    <col min="3089" max="3089" width="15.26953125" style="194" customWidth="1"/>
    <col min="3090" max="3332" width="9.1796875" style="194"/>
    <col min="3333" max="3333" width="14.7265625" style="194" customWidth="1"/>
    <col min="3334" max="3334" width="13.81640625" style="194" customWidth="1"/>
    <col min="3335" max="3335" width="19.54296875" style="194" customWidth="1"/>
    <col min="3336" max="3336" width="10.54296875" style="194" customWidth="1"/>
    <col min="3337" max="3337" width="9.1796875" style="194"/>
    <col min="3338" max="3338" width="11.1796875" style="194" customWidth="1"/>
    <col min="3339" max="3340" width="19" style="194" bestFit="1" customWidth="1"/>
    <col min="3341" max="3343" width="9.1796875" style="194"/>
    <col min="3344" max="3344" width="19.453125" style="194" bestFit="1" customWidth="1"/>
    <col min="3345" max="3345" width="15.26953125" style="194" customWidth="1"/>
    <col min="3346" max="3588" width="9.1796875" style="194"/>
    <col min="3589" max="3589" width="14.7265625" style="194" customWidth="1"/>
    <col min="3590" max="3590" width="13.81640625" style="194" customWidth="1"/>
    <col min="3591" max="3591" width="19.54296875" style="194" customWidth="1"/>
    <col min="3592" max="3592" width="10.54296875" style="194" customWidth="1"/>
    <col min="3593" max="3593" width="9.1796875" style="194"/>
    <col min="3594" max="3594" width="11.1796875" style="194" customWidth="1"/>
    <col min="3595" max="3596" width="19" style="194" bestFit="1" customWidth="1"/>
    <col min="3597" max="3599" width="9.1796875" style="194"/>
    <col min="3600" max="3600" width="19.453125" style="194" bestFit="1" customWidth="1"/>
    <col min="3601" max="3601" width="15.26953125" style="194" customWidth="1"/>
    <col min="3602" max="3844" width="9.1796875" style="194"/>
    <col min="3845" max="3845" width="14.7265625" style="194" customWidth="1"/>
    <col min="3846" max="3846" width="13.81640625" style="194" customWidth="1"/>
    <col min="3847" max="3847" width="19.54296875" style="194" customWidth="1"/>
    <col min="3848" max="3848" width="10.54296875" style="194" customWidth="1"/>
    <col min="3849" max="3849" width="9.1796875" style="194"/>
    <col min="3850" max="3850" width="11.1796875" style="194" customWidth="1"/>
    <col min="3851" max="3852" width="19" style="194" bestFit="1" customWidth="1"/>
    <col min="3853" max="3855" width="9.1796875" style="194"/>
    <col min="3856" max="3856" width="19.453125" style="194" bestFit="1" customWidth="1"/>
    <col min="3857" max="3857" width="15.26953125" style="194" customWidth="1"/>
    <col min="3858" max="4100" width="9.1796875" style="194"/>
    <col min="4101" max="4101" width="14.7265625" style="194" customWidth="1"/>
    <col min="4102" max="4102" width="13.81640625" style="194" customWidth="1"/>
    <col min="4103" max="4103" width="19.54296875" style="194" customWidth="1"/>
    <col min="4104" max="4104" width="10.54296875" style="194" customWidth="1"/>
    <col min="4105" max="4105" width="9.1796875" style="194"/>
    <col min="4106" max="4106" width="11.1796875" style="194" customWidth="1"/>
    <col min="4107" max="4108" width="19" style="194" bestFit="1" customWidth="1"/>
    <col min="4109" max="4111" width="9.1796875" style="194"/>
    <col min="4112" max="4112" width="19.453125" style="194" bestFit="1" customWidth="1"/>
    <col min="4113" max="4113" width="15.26953125" style="194" customWidth="1"/>
    <col min="4114" max="4356" width="9.1796875" style="194"/>
    <col min="4357" max="4357" width="14.7265625" style="194" customWidth="1"/>
    <col min="4358" max="4358" width="13.81640625" style="194" customWidth="1"/>
    <col min="4359" max="4359" width="19.54296875" style="194" customWidth="1"/>
    <col min="4360" max="4360" width="10.54296875" style="194" customWidth="1"/>
    <col min="4361" max="4361" width="9.1796875" style="194"/>
    <col min="4362" max="4362" width="11.1796875" style="194" customWidth="1"/>
    <col min="4363" max="4364" width="19" style="194" bestFit="1" customWidth="1"/>
    <col min="4365" max="4367" width="9.1796875" style="194"/>
    <col min="4368" max="4368" width="19.453125" style="194" bestFit="1" customWidth="1"/>
    <col min="4369" max="4369" width="15.26953125" style="194" customWidth="1"/>
    <col min="4370" max="4612" width="9.1796875" style="194"/>
    <col min="4613" max="4613" width="14.7265625" style="194" customWidth="1"/>
    <col min="4614" max="4614" width="13.81640625" style="194" customWidth="1"/>
    <col min="4615" max="4615" width="19.54296875" style="194" customWidth="1"/>
    <col min="4616" max="4616" width="10.54296875" style="194" customWidth="1"/>
    <col min="4617" max="4617" width="9.1796875" style="194"/>
    <col min="4618" max="4618" width="11.1796875" style="194" customWidth="1"/>
    <col min="4619" max="4620" width="19" style="194" bestFit="1" customWidth="1"/>
    <col min="4621" max="4623" width="9.1796875" style="194"/>
    <col min="4624" max="4624" width="19.453125" style="194" bestFit="1" customWidth="1"/>
    <col min="4625" max="4625" width="15.26953125" style="194" customWidth="1"/>
    <col min="4626" max="4868" width="9.1796875" style="194"/>
    <col min="4869" max="4869" width="14.7265625" style="194" customWidth="1"/>
    <col min="4870" max="4870" width="13.81640625" style="194" customWidth="1"/>
    <col min="4871" max="4871" width="19.54296875" style="194" customWidth="1"/>
    <col min="4872" max="4872" width="10.54296875" style="194" customWidth="1"/>
    <col min="4873" max="4873" width="9.1796875" style="194"/>
    <col min="4874" max="4874" width="11.1796875" style="194" customWidth="1"/>
    <col min="4875" max="4876" width="19" style="194" bestFit="1" customWidth="1"/>
    <col min="4877" max="4879" width="9.1796875" style="194"/>
    <col min="4880" max="4880" width="19.453125" style="194" bestFit="1" customWidth="1"/>
    <col min="4881" max="4881" width="15.26953125" style="194" customWidth="1"/>
    <col min="4882" max="5124" width="9.1796875" style="194"/>
    <col min="5125" max="5125" width="14.7265625" style="194" customWidth="1"/>
    <col min="5126" max="5126" width="13.81640625" style="194" customWidth="1"/>
    <col min="5127" max="5127" width="19.54296875" style="194" customWidth="1"/>
    <col min="5128" max="5128" width="10.54296875" style="194" customWidth="1"/>
    <col min="5129" max="5129" width="9.1796875" style="194"/>
    <col min="5130" max="5130" width="11.1796875" style="194" customWidth="1"/>
    <col min="5131" max="5132" width="19" style="194" bestFit="1" customWidth="1"/>
    <col min="5133" max="5135" width="9.1796875" style="194"/>
    <col min="5136" max="5136" width="19.453125" style="194" bestFit="1" customWidth="1"/>
    <col min="5137" max="5137" width="15.26953125" style="194" customWidth="1"/>
    <col min="5138" max="5380" width="9.1796875" style="194"/>
    <col min="5381" max="5381" width="14.7265625" style="194" customWidth="1"/>
    <col min="5382" max="5382" width="13.81640625" style="194" customWidth="1"/>
    <col min="5383" max="5383" width="19.54296875" style="194" customWidth="1"/>
    <col min="5384" max="5384" width="10.54296875" style="194" customWidth="1"/>
    <col min="5385" max="5385" width="9.1796875" style="194"/>
    <col min="5386" max="5386" width="11.1796875" style="194" customWidth="1"/>
    <col min="5387" max="5388" width="19" style="194" bestFit="1" customWidth="1"/>
    <col min="5389" max="5391" width="9.1796875" style="194"/>
    <col min="5392" max="5392" width="19.453125" style="194" bestFit="1" customWidth="1"/>
    <col min="5393" max="5393" width="15.26953125" style="194" customWidth="1"/>
    <col min="5394" max="5636" width="9.1796875" style="194"/>
    <col min="5637" max="5637" width="14.7265625" style="194" customWidth="1"/>
    <col min="5638" max="5638" width="13.81640625" style="194" customWidth="1"/>
    <col min="5639" max="5639" width="19.54296875" style="194" customWidth="1"/>
    <col min="5640" max="5640" width="10.54296875" style="194" customWidth="1"/>
    <col min="5641" max="5641" width="9.1796875" style="194"/>
    <col min="5642" max="5642" width="11.1796875" style="194" customWidth="1"/>
    <col min="5643" max="5644" width="19" style="194" bestFit="1" customWidth="1"/>
    <col min="5645" max="5647" width="9.1796875" style="194"/>
    <col min="5648" max="5648" width="19.453125" style="194" bestFit="1" customWidth="1"/>
    <col min="5649" max="5649" width="15.26953125" style="194" customWidth="1"/>
    <col min="5650" max="5892" width="9.1796875" style="194"/>
    <col min="5893" max="5893" width="14.7265625" style="194" customWidth="1"/>
    <col min="5894" max="5894" width="13.81640625" style="194" customWidth="1"/>
    <col min="5895" max="5895" width="19.54296875" style="194" customWidth="1"/>
    <col min="5896" max="5896" width="10.54296875" style="194" customWidth="1"/>
    <col min="5897" max="5897" width="9.1796875" style="194"/>
    <col min="5898" max="5898" width="11.1796875" style="194" customWidth="1"/>
    <col min="5899" max="5900" width="19" style="194" bestFit="1" customWidth="1"/>
    <col min="5901" max="5903" width="9.1796875" style="194"/>
    <col min="5904" max="5904" width="19.453125" style="194" bestFit="1" customWidth="1"/>
    <col min="5905" max="5905" width="15.26953125" style="194" customWidth="1"/>
    <col min="5906" max="6148" width="9.1796875" style="194"/>
    <col min="6149" max="6149" width="14.7265625" style="194" customWidth="1"/>
    <col min="6150" max="6150" width="13.81640625" style="194" customWidth="1"/>
    <col min="6151" max="6151" width="19.54296875" style="194" customWidth="1"/>
    <col min="6152" max="6152" width="10.54296875" style="194" customWidth="1"/>
    <col min="6153" max="6153" width="9.1796875" style="194"/>
    <col min="6154" max="6154" width="11.1796875" style="194" customWidth="1"/>
    <col min="6155" max="6156" width="19" style="194" bestFit="1" customWidth="1"/>
    <col min="6157" max="6159" width="9.1796875" style="194"/>
    <col min="6160" max="6160" width="19.453125" style="194" bestFit="1" customWidth="1"/>
    <col min="6161" max="6161" width="15.26953125" style="194" customWidth="1"/>
    <col min="6162" max="6404" width="9.1796875" style="194"/>
    <col min="6405" max="6405" width="14.7265625" style="194" customWidth="1"/>
    <col min="6406" max="6406" width="13.81640625" style="194" customWidth="1"/>
    <col min="6407" max="6407" width="19.54296875" style="194" customWidth="1"/>
    <col min="6408" max="6408" width="10.54296875" style="194" customWidth="1"/>
    <col min="6409" max="6409" width="9.1796875" style="194"/>
    <col min="6410" max="6410" width="11.1796875" style="194" customWidth="1"/>
    <col min="6411" max="6412" width="19" style="194" bestFit="1" customWidth="1"/>
    <col min="6413" max="6415" width="9.1796875" style="194"/>
    <col min="6416" max="6416" width="19.453125" style="194" bestFit="1" customWidth="1"/>
    <col min="6417" max="6417" width="15.26953125" style="194" customWidth="1"/>
    <col min="6418" max="6660" width="9.1796875" style="194"/>
    <col min="6661" max="6661" width="14.7265625" style="194" customWidth="1"/>
    <col min="6662" max="6662" width="13.81640625" style="194" customWidth="1"/>
    <col min="6663" max="6663" width="19.54296875" style="194" customWidth="1"/>
    <col min="6664" max="6664" width="10.54296875" style="194" customWidth="1"/>
    <col min="6665" max="6665" width="9.1796875" style="194"/>
    <col min="6666" max="6666" width="11.1796875" style="194" customWidth="1"/>
    <col min="6667" max="6668" width="19" style="194" bestFit="1" customWidth="1"/>
    <col min="6669" max="6671" width="9.1796875" style="194"/>
    <col min="6672" max="6672" width="19.453125" style="194" bestFit="1" customWidth="1"/>
    <col min="6673" max="6673" width="15.26953125" style="194" customWidth="1"/>
    <col min="6674" max="6916" width="9.1796875" style="194"/>
    <col min="6917" max="6917" width="14.7265625" style="194" customWidth="1"/>
    <col min="6918" max="6918" width="13.81640625" style="194" customWidth="1"/>
    <col min="6919" max="6919" width="19.54296875" style="194" customWidth="1"/>
    <col min="6920" max="6920" width="10.54296875" style="194" customWidth="1"/>
    <col min="6921" max="6921" width="9.1796875" style="194"/>
    <col min="6922" max="6922" width="11.1796875" style="194" customWidth="1"/>
    <col min="6923" max="6924" width="19" style="194" bestFit="1" customWidth="1"/>
    <col min="6925" max="6927" width="9.1796875" style="194"/>
    <col min="6928" max="6928" width="19.453125" style="194" bestFit="1" customWidth="1"/>
    <col min="6929" max="6929" width="15.26953125" style="194" customWidth="1"/>
    <col min="6930" max="7172" width="9.1796875" style="194"/>
    <col min="7173" max="7173" width="14.7265625" style="194" customWidth="1"/>
    <col min="7174" max="7174" width="13.81640625" style="194" customWidth="1"/>
    <col min="7175" max="7175" width="19.54296875" style="194" customWidth="1"/>
    <col min="7176" max="7176" width="10.54296875" style="194" customWidth="1"/>
    <col min="7177" max="7177" width="9.1796875" style="194"/>
    <col min="7178" max="7178" width="11.1796875" style="194" customWidth="1"/>
    <col min="7179" max="7180" width="19" style="194" bestFit="1" customWidth="1"/>
    <col min="7181" max="7183" width="9.1796875" style="194"/>
    <col min="7184" max="7184" width="19.453125" style="194" bestFit="1" customWidth="1"/>
    <col min="7185" max="7185" width="15.26953125" style="194" customWidth="1"/>
    <col min="7186" max="7428" width="9.1796875" style="194"/>
    <col min="7429" max="7429" width="14.7265625" style="194" customWidth="1"/>
    <col min="7430" max="7430" width="13.81640625" style="194" customWidth="1"/>
    <col min="7431" max="7431" width="19.54296875" style="194" customWidth="1"/>
    <col min="7432" max="7432" width="10.54296875" style="194" customWidth="1"/>
    <col min="7433" max="7433" width="9.1796875" style="194"/>
    <col min="7434" max="7434" width="11.1796875" style="194" customWidth="1"/>
    <col min="7435" max="7436" width="19" style="194" bestFit="1" customWidth="1"/>
    <col min="7437" max="7439" width="9.1796875" style="194"/>
    <col min="7440" max="7440" width="19.453125" style="194" bestFit="1" customWidth="1"/>
    <col min="7441" max="7441" width="15.26953125" style="194" customWidth="1"/>
    <col min="7442" max="7684" width="9.1796875" style="194"/>
    <col min="7685" max="7685" width="14.7265625" style="194" customWidth="1"/>
    <col min="7686" max="7686" width="13.81640625" style="194" customWidth="1"/>
    <col min="7687" max="7687" width="19.54296875" style="194" customWidth="1"/>
    <col min="7688" max="7688" width="10.54296875" style="194" customWidth="1"/>
    <col min="7689" max="7689" width="9.1796875" style="194"/>
    <col min="7690" max="7690" width="11.1796875" style="194" customWidth="1"/>
    <col min="7691" max="7692" width="19" style="194" bestFit="1" customWidth="1"/>
    <col min="7693" max="7695" width="9.1796875" style="194"/>
    <col min="7696" max="7696" width="19.453125" style="194" bestFit="1" customWidth="1"/>
    <col min="7697" max="7697" width="15.26953125" style="194" customWidth="1"/>
    <col min="7698" max="7940" width="9.1796875" style="194"/>
    <col min="7941" max="7941" width="14.7265625" style="194" customWidth="1"/>
    <col min="7942" max="7942" width="13.81640625" style="194" customWidth="1"/>
    <col min="7943" max="7943" width="19.54296875" style="194" customWidth="1"/>
    <col min="7944" max="7944" width="10.54296875" style="194" customWidth="1"/>
    <col min="7945" max="7945" width="9.1796875" style="194"/>
    <col min="7946" max="7946" width="11.1796875" style="194" customWidth="1"/>
    <col min="7947" max="7948" width="19" style="194" bestFit="1" customWidth="1"/>
    <col min="7949" max="7951" width="9.1796875" style="194"/>
    <col min="7952" max="7952" width="19.453125" style="194" bestFit="1" customWidth="1"/>
    <col min="7953" max="7953" width="15.26953125" style="194" customWidth="1"/>
    <col min="7954" max="8196" width="9.1796875" style="194"/>
    <col min="8197" max="8197" width="14.7265625" style="194" customWidth="1"/>
    <col min="8198" max="8198" width="13.81640625" style="194" customWidth="1"/>
    <col min="8199" max="8199" width="19.54296875" style="194" customWidth="1"/>
    <col min="8200" max="8200" width="10.54296875" style="194" customWidth="1"/>
    <col min="8201" max="8201" width="9.1796875" style="194"/>
    <col min="8202" max="8202" width="11.1796875" style="194" customWidth="1"/>
    <col min="8203" max="8204" width="19" style="194" bestFit="1" customWidth="1"/>
    <col min="8205" max="8207" width="9.1796875" style="194"/>
    <col min="8208" max="8208" width="19.453125" style="194" bestFit="1" customWidth="1"/>
    <col min="8209" max="8209" width="15.26953125" style="194" customWidth="1"/>
    <col min="8210" max="8452" width="9.1796875" style="194"/>
    <col min="8453" max="8453" width="14.7265625" style="194" customWidth="1"/>
    <col min="8454" max="8454" width="13.81640625" style="194" customWidth="1"/>
    <col min="8455" max="8455" width="19.54296875" style="194" customWidth="1"/>
    <col min="8456" max="8456" width="10.54296875" style="194" customWidth="1"/>
    <col min="8457" max="8457" width="9.1796875" style="194"/>
    <col min="8458" max="8458" width="11.1796875" style="194" customWidth="1"/>
    <col min="8459" max="8460" width="19" style="194" bestFit="1" customWidth="1"/>
    <col min="8461" max="8463" width="9.1796875" style="194"/>
    <col min="8464" max="8464" width="19.453125" style="194" bestFit="1" customWidth="1"/>
    <col min="8465" max="8465" width="15.26953125" style="194" customWidth="1"/>
    <col min="8466" max="8708" width="9.1796875" style="194"/>
    <col min="8709" max="8709" width="14.7265625" style="194" customWidth="1"/>
    <col min="8710" max="8710" width="13.81640625" style="194" customWidth="1"/>
    <col min="8711" max="8711" width="19.54296875" style="194" customWidth="1"/>
    <col min="8712" max="8712" width="10.54296875" style="194" customWidth="1"/>
    <col min="8713" max="8713" width="9.1796875" style="194"/>
    <col min="8714" max="8714" width="11.1796875" style="194" customWidth="1"/>
    <col min="8715" max="8716" width="19" style="194" bestFit="1" customWidth="1"/>
    <col min="8717" max="8719" width="9.1796875" style="194"/>
    <col min="8720" max="8720" width="19.453125" style="194" bestFit="1" customWidth="1"/>
    <col min="8721" max="8721" width="15.26953125" style="194" customWidth="1"/>
    <col min="8722" max="8964" width="9.1796875" style="194"/>
    <col min="8965" max="8965" width="14.7265625" style="194" customWidth="1"/>
    <col min="8966" max="8966" width="13.81640625" style="194" customWidth="1"/>
    <col min="8967" max="8967" width="19.54296875" style="194" customWidth="1"/>
    <col min="8968" max="8968" width="10.54296875" style="194" customWidth="1"/>
    <col min="8969" max="8969" width="9.1796875" style="194"/>
    <col min="8970" max="8970" width="11.1796875" style="194" customWidth="1"/>
    <col min="8971" max="8972" width="19" style="194" bestFit="1" customWidth="1"/>
    <col min="8973" max="8975" width="9.1796875" style="194"/>
    <col min="8976" max="8976" width="19.453125" style="194" bestFit="1" customWidth="1"/>
    <col min="8977" max="8977" width="15.26953125" style="194" customWidth="1"/>
    <col min="8978" max="9220" width="9.1796875" style="194"/>
    <col min="9221" max="9221" width="14.7265625" style="194" customWidth="1"/>
    <col min="9222" max="9222" width="13.81640625" style="194" customWidth="1"/>
    <col min="9223" max="9223" width="19.54296875" style="194" customWidth="1"/>
    <col min="9224" max="9224" width="10.54296875" style="194" customWidth="1"/>
    <col min="9225" max="9225" width="9.1796875" style="194"/>
    <col min="9226" max="9226" width="11.1796875" style="194" customWidth="1"/>
    <col min="9227" max="9228" width="19" style="194" bestFit="1" customWidth="1"/>
    <col min="9229" max="9231" width="9.1796875" style="194"/>
    <col min="9232" max="9232" width="19.453125" style="194" bestFit="1" customWidth="1"/>
    <col min="9233" max="9233" width="15.26953125" style="194" customWidth="1"/>
    <col min="9234" max="9476" width="9.1796875" style="194"/>
    <col min="9477" max="9477" width="14.7265625" style="194" customWidth="1"/>
    <col min="9478" max="9478" width="13.81640625" style="194" customWidth="1"/>
    <col min="9479" max="9479" width="19.54296875" style="194" customWidth="1"/>
    <col min="9480" max="9480" width="10.54296875" style="194" customWidth="1"/>
    <col min="9481" max="9481" width="9.1796875" style="194"/>
    <col min="9482" max="9482" width="11.1796875" style="194" customWidth="1"/>
    <col min="9483" max="9484" width="19" style="194" bestFit="1" customWidth="1"/>
    <col min="9485" max="9487" width="9.1796875" style="194"/>
    <col min="9488" max="9488" width="19.453125" style="194" bestFit="1" customWidth="1"/>
    <col min="9489" max="9489" width="15.26953125" style="194" customWidth="1"/>
    <col min="9490" max="9732" width="9.1796875" style="194"/>
    <col min="9733" max="9733" width="14.7265625" style="194" customWidth="1"/>
    <col min="9734" max="9734" width="13.81640625" style="194" customWidth="1"/>
    <col min="9735" max="9735" width="19.54296875" style="194" customWidth="1"/>
    <col min="9736" max="9736" width="10.54296875" style="194" customWidth="1"/>
    <col min="9737" max="9737" width="9.1796875" style="194"/>
    <col min="9738" max="9738" width="11.1796875" style="194" customWidth="1"/>
    <col min="9739" max="9740" width="19" style="194" bestFit="1" customWidth="1"/>
    <col min="9741" max="9743" width="9.1796875" style="194"/>
    <col min="9744" max="9744" width="19.453125" style="194" bestFit="1" customWidth="1"/>
    <col min="9745" max="9745" width="15.26953125" style="194" customWidth="1"/>
    <col min="9746" max="9988" width="9.1796875" style="194"/>
    <col min="9989" max="9989" width="14.7265625" style="194" customWidth="1"/>
    <col min="9990" max="9990" width="13.81640625" style="194" customWidth="1"/>
    <col min="9991" max="9991" width="19.54296875" style="194" customWidth="1"/>
    <col min="9992" max="9992" width="10.54296875" style="194" customWidth="1"/>
    <col min="9993" max="9993" width="9.1796875" style="194"/>
    <col min="9994" max="9994" width="11.1796875" style="194" customWidth="1"/>
    <col min="9995" max="9996" width="19" style="194" bestFit="1" customWidth="1"/>
    <col min="9997" max="9999" width="9.1796875" style="194"/>
    <col min="10000" max="10000" width="19.453125" style="194" bestFit="1" customWidth="1"/>
    <col min="10001" max="10001" width="15.26953125" style="194" customWidth="1"/>
    <col min="10002" max="10244" width="9.1796875" style="194"/>
    <col min="10245" max="10245" width="14.7265625" style="194" customWidth="1"/>
    <col min="10246" max="10246" width="13.81640625" style="194" customWidth="1"/>
    <col min="10247" max="10247" width="19.54296875" style="194" customWidth="1"/>
    <col min="10248" max="10248" width="10.54296875" style="194" customWidth="1"/>
    <col min="10249" max="10249" width="9.1796875" style="194"/>
    <col min="10250" max="10250" width="11.1796875" style="194" customWidth="1"/>
    <col min="10251" max="10252" width="19" style="194" bestFit="1" customWidth="1"/>
    <col min="10253" max="10255" width="9.1796875" style="194"/>
    <col min="10256" max="10256" width="19.453125" style="194" bestFit="1" customWidth="1"/>
    <col min="10257" max="10257" width="15.26953125" style="194" customWidth="1"/>
    <col min="10258" max="10500" width="9.1796875" style="194"/>
    <col min="10501" max="10501" width="14.7265625" style="194" customWidth="1"/>
    <col min="10502" max="10502" width="13.81640625" style="194" customWidth="1"/>
    <col min="10503" max="10503" width="19.54296875" style="194" customWidth="1"/>
    <col min="10504" max="10504" width="10.54296875" style="194" customWidth="1"/>
    <col min="10505" max="10505" width="9.1796875" style="194"/>
    <col min="10506" max="10506" width="11.1796875" style="194" customWidth="1"/>
    <col min="10507" max="10508" width="19" style="194" bestFit="1" customWidth="1"/>
    <col min="10509" max="10511" width="9.1796875" style="194"/>
    <col min="10512" max="10512" width="19.453125" style="194" bestFit="1" customWidth="1"/>
    <col min="10513" max="10513" width="15.26953125" style="194" customWidth="1"/>
    <col min="10514" max="10756" width="9.1796875" style="194"/>
    <col min="10757" max="10757" width="14.7265625" style="194" customWidth="1"/>
    <col min="10758" max="10758" width="13.81640625" style="194" customWidth="1"/>
    <col min="10759" max="10759" width="19.54296875" style="194" customWidth="1"/>
    <col min="10760" max="10760" width="10.54296875" style="194" customWidth="1"/>
    <col min="10761" max="10761" width="9.1796875" style="194"/>
    <col min="10762" max="10762" width="11.1796875" style="194" customWidth="1"/>
    <col min="10763" max="10764" width="19" style="194" bestFit="1" customWidth="1"/>
    <col min="10765" max="10767" width="9.1796875" style="194"/>
    <col min="10768" max="10768" width="19.453125" style="194" bestFit="1" customWidth="1"/>
    <col min="10769" max="10769" width="15.26953125" style="194" customWidth="1"/>
    <col min="10770" max="11012" width="9.1796875" style="194"/>
    <col min="11013" max="11013" width="14.7265625" style="194" customWidth="1"/>
    <col min="11014" max="11014" width="13.81640625" style="194" customWidth="1"/>
    <col min="11015" max="11015" width="19.54296875" style="194" customWidth="1"/>
    <col min="11016" max="11016" width="10.54296875" style="194" customWidth="1"/>
    <col min="11017" max="11017" width="9.1796875" style="194"/>
    <col min="11018" max="11018" width="11.1796875" style="194" customWidth="1"/>
    <col min="11019" max="11020" width="19" style="194" bestFit="1" customWidth="1"/>
    <col min="11021" max="11023" width="9.1796875" style="194"/>
    <col min="11024" max="11024" width="19.453125" style="194" bestFit="1" customWidth="1"/>
    <col min="11025" max="11025" width="15.26953125" style="194" customWidth="1"/>
    <col min="11026" max="11268" width="9.1796875" style="194"/>
    <col min="11269" max="11269" width="14.7265625" style="194" customWidth="1"/>
    <col min="11270" max="11270" width="13.81640625" style="194" customWidth="1"/>
    <col min="11271" max="11271" width="19.54296875" style="194" customWidth="1"/>
    <col min="11272" max="11272" width="10.54296875" style="194" customWidth="1"/>
    <col min="11273" max="11273" width="9.1796875" style="194"/>
    <col min="11274" max="11274" width="11.1796875" style="194" customWidth="1"/>
    <col min="11275" max="11276" width="19" style="194" bestFit="1" customWidth="1"/>
    <col min="11277" max="11279" width="9.1796875" style="194"/>
    <col min="11280" max="11280" width="19.453125" style="194" bestFit="1" customWidth="1"/>
    <col min="11281" max="11281" width="15.26953125" style="194" customWidth="1"/>
    <col min="11282" max="11524" width="9.1796875" style="194"/>
    <col min="11525" max="11525" width="14.7265625" style="194" customWidth="1"/>
    <col min="11526" max="11526" width="13.81640625" style="194" customWidth="1"/>
    <col min="11527" max="11527" width="19.54296875" style="194" customWidth="1"/>
    <col min="11528" max="11528" width="10.54296875" style="194" customWidth="1"/>
    <col min="11529" max="11529" width="9.1796875" style="194"/>
    <col min="11530" max="11530" width="11.1796875" style="194" customWidth="1"/>
    <col min="11531" max="11532" width="19" style="194" bestFit="1" customWidth="1"/>
    <col min="11533" max="11535" width="9.1796875" style="194"/>
    <col min="11536" max="11536" width="19.453125" style="194" bestFit="1" customWidth="1"/>
    <col min="11537" max="11537" width="15.26953125" style="194" customWidth="1"/>
    <col min="11538" max="11780" width="9.1796875" style="194"/>
    <col min="11781" max="11781" width="14.7265625" style="194" customWidth="1"/>
    <col min="11782" max="11782" width="13.81640625" style="194" customWidth="1"/>
    <col min="11783" max="11783" width="19.54296875" style="194" customWidth="1"/>
    <col min="11784" max="11784" width="10.54296875" style="194" customWidth="1"/>
    <col min="11785" max="11785" width="9.1796875" style="194"/>
    <col min="11786" max="11786" width="11.1796875" style="194" customWidth="1"/>
    <col min="11787" max="11788" width="19" style="194" bestFit="1" customWidth="1"/>
    <col min="11789" max="11791" width="9.1796875" style="194"/>
    <col min="11792" max="11792" width="19.453125" style="194" bestFit="1" customWidth="1"/>
    <col min="11793" max="11793" width="15.26953125" style="194" customWidth="1"/>
    <col min="11794" max="12036" width="9.1796875" style="194"/>
    <col min="12037" max="12037" width="14.7265625" style="194" customWidth="1"/>
    <col min="12038" max="12038" width="13.81640625" style="194" customWidth="1"/>
    <col min="12039" max="12039" width="19.54296875" style="194" customWidth="1"/>
    <col min="12040" max="12040" width="10.54296875" style="194" customWidth="1"/>
    <col min="12041" max="12041" width="9.1796875" style="194"/>
    <col min="12042" max="12042" width="11.1796875" style="194" customWidth="1"/>
    <col min="12043" max="12044" width="19" style="194" bestFit="1" customWidth="1"/>
    <col min="12045" max="12047" width="9.1796875" style="194"/>
    <col min="12048" max="12048" width="19.453125" style="194" bestFit="1" customWidth="1"/>
    <col min="12049" max="12049" width="15.26953125" style="194" customWidth="1"/>
    <col min="12050" max="12292" width="9.1796875" style="194"/>
    <col min="12293" max="12293" width="14.7265625" style="194" customWidth="1"/>
    <col min="12294" max="12294" width="13.81640625" style="194" customWidth="1"/>
    <col min="12295" max="12295" width="19.54296875" style="194" customWidth="1"/>
    <col min="12296" max="12296" width="10.54296875" style="194" customWidth="1"/>
    <col min="12297" max="12297" width="9.1796875" style="194"/>
    <col min="12298" max="12298" width="11.1796875" style="194" customWidth="1"/>
    <col min="12299" max="12300" width="19" style="194" bestFit="1" customWidth="1"/>
    <col min="12301" max="12303" width="9.1796875" style="194"/>
    <col min="12304" max="12304" width="19.453125" style="194" bestFit="1" customWidth="1"/>
    <col min="12305" max="12305" width="15.26953125" style="194" customWidth="1"/>
    <col min="12306" max="12548" width="9.1796875" style="194"/>
    <col min="12549" max="12549" width="14.7265625" style="194" customWidth="1"/>
    <col min="12550" max="12550" width="13.81640625" style="194" customWidth="1"/>
    <col min="12551" max="12551" width="19.54296875" style="194" customWidth="1"/>
    <col min="12552" max="12552" width="10.54296875" style="194" customWidth="1"/>
    <col min="12553" max="12553" width="9.1796875" style="194"/>
    <col min="12554" max="12554" width="11.1796875" style="194" customWidth="1"/>
    <col min="12555" max="12556" width="19" style="194" bestFit="1" customWidth="1"/>
    <col min="12557" max="12559" width="9.1796875" style="194"/>
    <col min="12560" max="12560" width="19.453125" style="194" bestFit="1" customWidth="1"/>
    <col min="12561" max="12561" width="15.26953125" style="194" customWidth="1"/>
    <col min="12562" max="12804" width="9.1796875" style="194"/>
    <col min="12805" max="12805" width="14.7265625" style="194" customWidth="1"/>
    <col min="12806" max="12806" width="13.81640625" style="194" customWidth="1"/>
    <col min="12807" max="12807" width="19.54296875" style="194" customWidth="1"/>
    <col min="12808" max="12808" width="10.54296875" style="194" customWidth="1"/>
    <col min="12809" max="12809" width="9.1796875" style="194"/>
    <col min="12810" max="12810" width="11.1796875" style="194" customWidth="1"/>
    <col min="12811" max="12812" width="19" style="194" bestFit="1" customWidth="1"/>
    <col min="12813" max="12815" width="9.1796875" style="194"/>
    <col min="12816" max="12816" width="19.453125" style="194" bestFit="1" customWidth="1"/>
    <col min="12817" max="12817" width="15.26953125" style="194" customWidth="1"/>
    <col min="12818" max="13060" width="9.1796875" style="194"/>
    <col min="13061" max="13061" width="14.7265625" style="194" customWidth="1"/>
    <col min="13062" max="13062" width="13.81640625" style="194" customWidth="1"/>
    <col min="13063" max="13063" width="19.54296875" style="194" customWidth="1"/>
    <col min="13064" max="13064" width="10.54296875" style="194" customWidth="1"/>
    <col min="13065" max="13065" width="9.1796875" style="194"/>
    <col min="13066" max="13066" width="11.1796875" style="194" customWidth="1"/>
    <col min="13067" max="13068" width="19" style="194" bestFit="1" customWidth="1"/>
    <col min="13069" max="13071" width="9.1796875" style="194"/>
    <col min="13072" max="13072" width="19.453125" style="194" bestFit="1" customWidth="1"/>
    <col min="13073" max="13073" width="15.26953125" style="194" customWidth="1"/>
    <col min="13074" max="13316" width="9.1796875" style="194"/>
    <col min="13317" max="13317" width="14.7265625" style="194" customWidth="1"/>
    <col min="13318" max="13318" width="13.81640625" style="194" customWidth="1"/>
    <col min="13319" max="13319" width="19.54296875" style="194" customWidth="1"/>
    <col min="13320" max="13320" width="10.54296875" style="194" customWidth="1"/>
    <col min="13321" max="13321" width="9.1796875" style="194"/>
    <col min="13322" max="13322" width="11.1796875" style="194" customWidth="1"/>
    <col min="13323" max="13324" width="19" style="194" bestFit="1" customWidth="1"/>
    <col min="13325" max="13327" width="9.1796875" style="194"/>
    <col min="13328" max="13328" width="19.453125" style="194" bestFit="1" customWidth="1"/>
    <col min="13329" max="13329" width="15.26953125" style="194" customWidth="1"/>
    <col min="13330" max="13572" width="9.1796875" style="194"/>
    <col min="13573" max="13573" width="14.7265625" style="194" customWidth="1"/>
    <col min="13574" max="13574" width="13.81640625" style="194" customWidth="1"/>
    <col min="13575" max="13575" width="19.54296875" style="194" customWidth="1"/>
    <col min="13576" max="13576" width="10.54296875" style="194" customWidth="1"/>
    <col min="13577" max="13577" width="9.1796875" style="194"/>
    <col min="13578" max="13578" width="11.1796875" style="194" customWidth="1"/>
    <col min="13579" max="13580" width="19" style="194" bestFit="1" customWidth="1"/>
    <col min="13581" max="13583" width="9.1796875" style="194"/>
    <col min="13584" max="13584" width="19.453125" style="194" bestFit="1" customWidth="1"/>
    <col min="13585" max="13585" width="15.26953125" style="194" customWidth="1"/>
    <col min="13586" max="13828" width="9.1796875" style="194"/>
    <col min="13829" max="13829" width="14.7265625" style="194" customWidth="1"/>
    <col min="13830" max="13830" width="13.81640625" style="194" customWidth="1"/>
    <col min="13831" max="13831" width="19.54296875" style="194" customWidth="1"/>
    <col min="13832" max="13832" width="10.54296875" style="194" customWidth="1"/>
    <col min="13833" max="13833" width="9.1796875" style="194"/>
    <col min="13834" max="13834" width="11.1796875" style="194" customWidth="1"/>
    <col min="13835" max="13836" width="19" style="194" bestFit="1" customWidth="1"/>
    <col min="13837" max="13839" width="9.1796875" style="194"/>
    <col min="13840" max="13840" width="19.453125" style="194" bestFit="1" customWidth="1"/>
    <col min="13841" max="13841" width="15.26953125" style="194" customWidth="1"/>
    <col min="13842" max="14084" width="9.1796875" style="194"/>
    <col min="14085" max="14085" width="14.7265625" style="194" customWidth="1"/>
    <col min="14086" max="14086" width="13.81640625" style="194" customWidth="1"/>
    <col min="14087" max="14087" width="19.54296875" style="194" customWidth="1"/>
    <col min="14088" max="14088" width="10.54296875" style="194" customWidth="1"/>
    <col min="14089" max="14089" width="9.1796875" style="194"/>
    <col min="14090" max="14090" width="11.1796875" style="194" customWidth="1"/>
    <col min="14091" max="14092" width="19" style="194" bestFit="1" customWidth="1"/>
    <col min="14093" max="14095" width="9.1796875" style="194"/>
    <col min="14096" max="14096" width="19.453125" style="194" bestFit="1" customWidth="1"/>
    <col min="14097" max="14097" width="15.26953125" style="194" customWidth="1"/>
    <col min="14098" max="14340" width="9.1796875" style="194"/>
    <col min="14341" max="14341" width="14.7265625" style="194" customWidth="1"/>
    <col min="14342" max="14342" width="13.81640625" style="194" customWidth="1"/>
    <col min="14343" max="14343" width="19.54296875" style="194" customWidth="1"/>
    <col min="14344" max="14344" width="10.54296875" style="194" customWidth="1"/>
    <col min="14345" max="14345" width="9.1796875" style="194"/>
    <col min="14346" max="14346" width="11.1796875" style="194" customWidth="1"/>
    <col min="14347" max="14348" width="19" style="194" bestFit="1" customWidth="1"/>
    <col min="14349" max="14351" width="9.1796875" style="194"/>
    <col min="14352" max="14352" width="19.453125" style="194" bestFit="1" customWidth="1"/>
    <col min="14353" max="14353" width="15.26953125" style="194" customWidth="1"/>
    <col min="14354" max="14596" width="9.1796875" style="194"/>
    <col min="14597" max="14597" width="14.7265625" style="194" customWidth="1"/>
    <col min="14598" max="14598" width="13.81640625" style="194" customWidth="1"/>
    <col min="14599" max="14599" width="19.54296875" style="194" customWidth="1"/>
    <col min="14600" max="14600" width="10.54296875" style="194" customWidth="1"/>
    <col min="14601" max="14601" width="9.1796875" style="194"/>
    <col min="14602" max="14602" width="11.1796875" style="194" customWidth="1"/>
    <col min="14603" max="14604" width="19" style="194" bestFit="1" customWidth="1"/>
    <col min="14605" max="14607" width="9.1796875" style="194"/>
    <col min="14608" max="14608" width="19.453125" style="194" bestFit="1" customWidth="1"/>
    <col min="14609" max="14609" width="15.26953125" style="194" customWidth="1"/>
    <col min="14610" max="14852" width="9.1796875" style="194"/>
    <col min="14853" max="14853" width="14.7265625" style="194" customWidth="1"/>
    <col min="14854" max="14854" width="13.81640625" style="194" customWidth="1"/>
    <col min="14855" max="14855" width="19.54296875" style="194" customWidth="1"/>
    <col min="14856" max="14856" width="10.54296875" style="194" customWidth="1"/>
    <col min="14857" max="14857" width="9.1796875" style="194"/>
    <col min="14858" max="14858" width="11.1796875" style="194" customWidth="1"/>
    <col min="14859" max="14860" width="19" style="194" bestFit="1" customWidth="1"/>
    <col min="14861" max="14863" width="9.1796875" style="194"/>
    <col min="14864" max="14864" width="19.453125" style="194" bestFit="1" customWidth="1"/>
    <col min="14865" max="14865" width="15.26953125" style="194" customWidth="1"/>
    <col min="14866" max="15108" width="9.1796875" style="194"/>
    <col min="15109" max="15109" width="14.7265625" style="194" customWidth="1"/>
    <col min="15110" max="15110" width="13.81640625" style="194" customWidth="1"/>
    <col min="15111" max="15111" width="19.54296875" style="194" customWidth="1"/>
    <col min="15112" max="15112" width="10.54296875" style="194" customWidth="1"/>
    <col min="15113" max="15113" width="9.1796875" style="194"/>
    <col min="15114" max="15114" width="11.1796875" style="194" customWidth="1"/>
    <col min="15115" max="15116" width="19" style="194" bestFit="1" customWidth="1"/>
    <col min="15117" max="15119" width="9.1796875" style="194"/>
    <col min="15120" max="15120" width="19.453125" style="194" bestFit="1" customWidth="1"/>
    <col min="15121" max="15121" width="15.26953125" style="194" customWidth="1"/>
    <col min="15122" max="15364" width="9.1796875" style="194"/>
    <col min="15365" max="15365" width="14.7265625" style="194" customWidth="1"/>
    <col min="15366" max="15366" width="13.81640625" style="194" customWidth="1"/>
    <col min="15367" max="15367" width="19.54296875" style="194" customWidth="1"/>
    <col min="15368" max="15368" width="10.54296875" style="194" customWidth="1"/>
    <col min="15369" max="15369" width="9.1796875" style="194"/>
    <col min="15370" max="15370" width="11.1796875" style="194" customWidth="1"/>
    <col min="15371" max="15372" width="19" style="194" bestFit="1" customWidth="1"/>
    <col min="15373" max="15375" width="9.1796875" style="194"/>
    <col min="15376" max="15376" width="19.453125" style="194" bestFit="1" customWidth="1"/>
    <col min="15377" max="15377" width="15.26953125" style="194" customWidth="1"/>
    <col min="15378" max="15620" width="9.1796875" style="194"/>
    <col min="15621" max="15621" width="14.7265625" style="194" customWidth="1"/>
    <col min="15622" max="15622" width="13.81640625" style="194" customWidth="1"/>
    <col min="15623" max="15623" width="19.54296875" style="194" customWidth="1"/>
    <col min="15624" max="15624" width="10.54296875" style="194" customWidth="1"/>
    <col min="15625" max="15625" width="9.1796875" style="194"/>
    <col min="15626" max="15626" width="11.1796875" style="194" customWidth="1"/>
    <col min="15627" max="15628" width="19" style="194" bestFit="1" customWidth="1"/>
    <col min="15629" max="15631" width="9.1796875" style="194"/>
    <col min="15632" max="15632" width="19.453125" style="194" bestFit="1" customWidth="1"/>
    <col min="15633" max="15633" width="15.26953125" style="194" customWidth="1"/>
    <col min="15634" max="15876" width="9.1796875" style="194"/>
    <col min="15877" max="15877" width="14.7265625" style="194" customWidth="1"/>
    <col min="15878" max="15878" width="13.81640625" style="194" customWidth="1"/>
    <col min="15879" max="15879" width="19.54296875" style="194" customWidth="1"/>
    <col min="15880" max="15880" width="10.54296875" style="194" customWidth="1"/>
    <col min="15881" max="15881" width="9.1796875" style="194"/>
    <col min="15882" max="15882" width="11.1796875" style="194" customWidth="1"/>
    <col min="15883" max="15884" width="19" style="194" bestFit="1" customWidth="1"/>
    <col min="15885" max="15887" width="9.1796875" style="194"/>
    <col min="15888" max="15888" width="19.453125" style="194" bestFit="1" customWidth="1"/>
    <col min="15889" max="15889" width="15.26953125" style="194" customWidth="1"/>
    <col min="15890" max="16132" width="9.1796875" style="194"/>
    <col min="16133" max="16133" width="14.7265625" style="194" customWidth="1"/>
    <col min="16134" max="16134" width="13.81640625" style="194" customWidth="1"/>
    <col min="16135" max="16135" width="19.54296875" style="194" customWidth="1"/>
    <col min="16136" max="16136" width="10.54296875" style="194" customWidth="1"/>
    <col min="16137" max="16137" width="9.1796875" style="194"/>
    <col min="16138" max="16138" width="11.1796875" style="194" customWidth="1"/>
    <col min="16139" max="16140" width="19" style="194" bestFit="1" customWidth="1"/>
    <col min="16141" max="16143" width="9.1796875" style="194"/>
    <col min="16144" max="16144" width="19.453125" style="194" bestFit="1" customWidth="1"/>
    <col min="16145" max="16145" width="15.26953125" style="194" customWidth="1"/>
    <col min="16146" max="16384" width="9.1796875" style="194"/>
  </cols>
  <sheetData>
    <row r="1" spans="1:40" customFormat="1" ht="12.75" customHeight="1">
      <c r="A1" s="362" t="s">
        <v>300</v>
      </c>
      <c r="B1" s="362"/>
      <c r="C1" s="362"/>
      <c r="D1" s="362"/>
      <c r="E1" s="362"/>
      <c r="F1" s="362"/>
      <c r="G1" s="340"/>
      <c r="H1" s="340"/>
      <c r="I1" s="340"/>
      <c r="J1" s="340"/>
      <c r="K1" s="340"/>
      <c r="L1" s="341">
        <v>1</v>
      </c>
      <c r="M1" s="341">
        <v>2</v>
      </c>
      <c r="N1" s="342" t="s">
        <v>299</v>
      </c>
      <c r="O1" s="343"/>
      <c r="P1" s="344"/>
      <c r="Q1" s="345"/>
      <c r="R1" s="345"/>
      <c r="S1" s="342"/>
      <c r="T1" s="345"/>
    </row>
    <row r="2" spans="1:40" customFormat="1" ht="15" thickBot="1">
      <c r="A2" s="363"/>
      <c r="B2" s="363"/>
      <c r="C2" s="363"/>
      <c r="D2" s="363"/>
      <c r="E2" s="363"/>
      <c r="F2" s="363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2"/>
      <c r="S2" s="342"/>
      <c r="T2" s="342"/>
    </row>
    <row r="3" spans="1:40" ht="39.75" customHeight="1" thickBot="1">
      <c r="A3" s="365" t="s">
        <v>207</v>
      </c>
      <c r="B3" s="365" t="s">
        <v>208</v>
      </c>
      <c r="C3" s="358" t="s">
        <v>209</v>
      </c>
      <c r="D3" s="358" t="s">
        <v>210</v>
      </c>
      <c r="E3" s="358" t="s">
        <v>211</v>
      </c>
      <c r="F3" s="358" t="s">
        <v>212</v>
      </c>
      <c r="G3" s="360" t="s">
        <v>213</v>
      </c>
      <c r="H3" s="360" t="s">
        <v>207</v>
      </c>
      <c r="I3" s="360" t="s">
        <v>210</v>
      </c>
      <c r="L3" s="195" t="s">
        <v>214</v>
      </c>
      <c r="M3" s="196" t="s">
        <v>215</v>
      </c>
      <c r="N3" s="196" t="s">
        <v>216</v>
      </c>
      <c r="O3" s="196" t="s">
        <v>217</v>
      </c>
      <c r="P3" s="196" t="s">
        <v>218</v>
      </c>
      <c r="Q3" s="196" t="s">
        <v>53</v>
      </c>
      <c r="AM3" s="326">
        <f>$A5</f>
        <v>4.8</v>
      </c>
      <c r="AN3" s="326">
        <f>$D5</f>
        <v>0</v>
      </c>
    </row>
    <row r="4" spans="1:40" ht="18" customHeight="1">
      <c r="A4" s="366"/>
      <c r="B4" s="366"/>
      <c r="C4" s="359"/>
      <c r="D4" s="359"/>
      <c r="E4" s="359"/>
      <c r="F4" s="359"/>
      <c r="G4" s="361"/>
      <c r="H4" s="361"/>
      <c r="I4" s="361"/>
      <c r="L4" s="197">
        <f>IFERROR(((M31-M27)/(2*M29))*100,"")</f>
        <v>19.908963798128642</v>
      </c>
      <c r="M4" s="197">
        <f>F44</f>
        <v>0</v>
      </c>
      <c r="N4" s="197">
        <f>G44</f>
        <v>285.34999999999997</v>
      </c>
      <c r="O4" s="197">
        <f>H44</f>
        <v>290.39</v>
      </c>
      <c r="P4" s="197">
        <f>C15</f>
        <v>290.39</v>
      </c>
      <c r="Q4" s="197">
        <f>C20</f>
        <v>0.93674193548387097</v>
      </c>
      <c r="AM4" s="326">
        <f t="shared" ref="AM4:AM12" si="0">$A6</f>
        <v>4</v>
      </c>
      <c r="AN4" s="326">
        <f t="shared" ref="AN4:AN12" si="1">$D6</f>
        <v>35.81</v>
      </c>
    </row>
    <row r="5" spans="1:40" ht="12.75" customHeight="1">
      <c r="A5" s="198">
        <v>4.8</v>
      </c>
      <c r="B5" s="198">
        <v>4</v>
      </c>
      <c r="C5" s="199">
        <v>0</v>
      </c>
      <c r="D5" s="200">
        <f>IF(C5="","",C5)</f>
        <v>0</v>
      </c>
      <c r="E5" s="201">
        <f t="shared" ref="E5:E14" si="2">IF(C5="","",C5/$C$15*100)</f>
        <v>0</v>
      </c>
      <c r="F5" s="202">
        <f t="shared" ref="F5:F14" si="3">IFERROR(D5/$D$13*100,"")</f>
        <v>0</v>
      </c>
      <c r="G5" s="203">
        <v>4.8</v>
      </c>
      <c r="H5" s="267">
        <v>4.8</v>
      </c>
      <c r="I5" s="199">
        <f>D5</f>
        <v>0</v>
      </c>
      <c r="L5" s="204"/>
      <c r="M5" s="205"/>
      <c r="AM5" s="326">
        <f t="shared" si="0"/>
        <v>3.36</v>
      </c>
      <c r="AN5" s="326">
        <f t="shared" si="1"/>
        <v>138.31</v>
      </c>
    </row>
    <row r="6" spans="1:40" ht="12.75" customHeight="1">
      <c r="A6" s="206">
        <v>4</v>
      </c>
      <c r="B6" s="206">
        <v>5</v>
      </c>
      <c r="C6" s="207">
        <v>35.81</v>
      </c>
      <c r="D6" s="208">
        <f t="shared" ref="D6:D14" si="4">IF(C6="","",C6+D5)</f>
        <v>35.81</v>
      </c>
      <c r="E6" s="209">
        <f t="shared" si="2"/>
        <v>12.331691862667448</v>
      </c>
      <c r="F6" s="210">
        <f t="shared" si="3"/>
        <v>12.331691862667448</v>
      </c>
      <c r="G6" s="211">
        <v>4</v>
      </c>
      <c r="H6" s="268" t="str">
        <f>""</f>
        <v/>
      </c>
      <c r="I6" s="207">
        <f>$D$14</f>
        <v>290.39</v>
      </c>
      <c r="L6" s="204"/>
      <c r="M6" s="205"/>
      <c r="AM6" s="326">
        <f t="shared" si="0"/>
        <v>2.8</v>
      </c>
      <c r="AN6" s="326">
        <f t="shared" si="1"/>
        <v>220.38</v>
      </c>
    </row>
    <row r="7" spans="1:40">
      <c r="A7" s="198">
        <v>3.36</v>
      </c>
      <c r="B7" s="198">
        <v>6</v>
      </c>
      <c r="C7" s="199">
        <v>102.5</v>
      </c>
      <c r="D7" s="212">
        <f>IF(C7="","",C7+D6)</f>
        <v>138.31</v>
      </c>
      <c r="E7" s="201">
        <f t="shared" si="2"/>
        <v>35.297358724473987</v>
      </c>
      <c r="F7" s="202">
        <f t="shared" si="3"/>
        <v>47.629050587141435</v>
      </c>
      <c r="G7" s="203">
        <v>3.35</v>
      </c>
      <c r="H7" s="267">
        <v>4</v>
      </c>
      <c r="I7" s="199">
        <f>D6</f>
        <v>35.81</v>
      </c>
      <c r="AM7" s="326">
        <f t="shared" si="0"/>
        <v>2.36</v>
      </c>
      <c r="AN7" s="326">
        <f t="shared" si="1"/>
        <v>274.39999999999998</v>
      </c>
    </row>
    <row r="8" spans="1:40" ht="13.5" thickBot="1">
      <c r="A8" s="206">
        <v>2.8</v>
      </c>
      <c r="B8" s="206">
        <v>7</v>
      </c>
      <c r="C8" s="207">
        <v>82.07</v>
      </c>
      <c r="D8" s="213">
        <f t="shared" si="4"/>
        <v>220.38</v>
      </c>
      <c r="E8" s="209">
        <f t="shared" si="2"/>
        <v>28.261992492854439</v>
      </c>
      <c r="F8" s="210">
        <f t="shared" si="3"/>
        <v>75.891043079995868</v>
      </c>
      <c r="G8" s="211">
        <v>2.8</v>
      </c>
      <c r="H8" s="268" t="str">
        <f>""</f>
        <v/>
      </c>
      <c r="I8" s="207">
        <f>$D$14</f>
        <v>290.39</v>
      </c>
      <c r="L8" s="214"/>
      <c r="M8" s="214"/>
      <c r="N8" s="214"/>
      <c r="O8" s="214"/>
      <c r="P8" s="214"/>
      <c r="Q8" s="214"/>
      <c r="R8" s="214"/>
      <c r="S8" s="214"/>
      <c r="AM8" s="326">
        <f t="shared" si="0"/>
        <v>2</v>
      </c>
      <c r="AN8" s="326">
        <f t="shared" si="1"/>
        <v>285.34999999999997</v>
      </c>
    </row>
    <row r="9" spans="1:40" ht="13">
      <c r="A9" s="198">
        <v>2.36</v>
      </c>
      <c r="B9" s="198">
        <v>8</v>
      </c>
      <c r="C9" s="199">
        <v>54.02</v>
      </c>
      <c r="D9" s="200">
        <f t="shared" si="4"/>
        <v>274.39999999999998</v>
      </c>
      <c r="E9" s="201">
        <f t="shared" si="2"/>
        <v>18.602568958986193</v>
      </c>
      <c r="F9" s="202">
        <f t="shared" si="3"/>
        <v>94.49361203898205</v>
      </c>
      <c r="G9" s="203">
        <v>2.38</v>
      </c>
      <c r="H9" s="267">
        <v>2</v>
      </c>
      <c r="I9" s="199">
        <f>D10</f>
        <v>285.34999999999997</v>
      </c>
      <c r="L9" s="381" t="s">
        <v>219</v>
      </c>
      <c r="M9" s="382"/>
      <c r="N9" s="382"/>
      <c r="O9" s="382"/>
      <c r="P9" s="382"/>
      <c r="Q9" s="382"/>
      <c r="R9" s="382"/>
      <c r="S9" s="382"/>
      <c r="T9" s="383"/>
      <c r="AM9" s="326">
        <f t="shared" si="0"/>
        <v>1.41</v>
      </c>
      <c r="AN9" s="326">
        <f t="shared" si="1"/>
        <v>290.39</v>
      </c>
    </row>
    <row r="10" spans="1:40" ht="12.75" customHeight="1">
      <c r="A10" s="206">
        <v>2</v>
      </c>
      <c r="B10" s="206">
        <v>10</v>
      </c>
      <c r="C10" s="207">
        <v>10.95</v>
      </c>
      <c r="D10" s="213">
        <f t="shared" si="4"/>
        <v>285.34999999999997</v>
      </c>
      <c r="E10" s="209">
        <f t="shared" si="2"/>
        <v>3.7707910051999036</v>
      </c>
      <c r="F10" s="210">
        <f t="shared" si="3"/>
        <v>98.264403044181961</v>
      </c>
      <c r="G10" s="211">
        <v>2</v>
      </c>
      <c r="H10" s="268" t="str">
        <f>""</f>
        <v/>
      </c>
      <c r="I10" s="207">
        <f>$D$14</f>
        <v>290.39</v>
      </c>
      <c r="L10" s="215" t="s">
        <v>220</v>
      </c>
      <c r="M10" s="216" t="s">
        <v>221</v>
      </c>
      <c r="N10" s="384" t="s">
        <v>221</v>
      </c>
      <c r="O10" s="384"/>
      <c r="P10" s="384"/>
      <c r="Q10" s="384"/>
      <c r="R10" s="384"/>
      <c r="S10" s="384"/>
      <c r="T10" s="385"/>
      <c r="AM10" s="326">
        <f t="shared" si="0"/>
        <v>1</v>
      </c>
      <c r="AN10" s="326">
        <f t="shared" si="1"/>
        <v>290.39</v>
      </c>
    </row>
    <row r="11" spans="1:40" ht="12.75" customHeight="1">
      <c r="A11" s="198">
        <v>1.41</v>
      </c>
      <c r="B11" s="198">
        <v>14</v>
      </c>
      <c r="C11" s="199">
        <v>5.04</v>
      </c>
      <c r="D11" s="200">
        <f t="shared" si="4"/>
        <v>290.39</v>
      </c>
      <c r="E11" s="201">
        <f t="shared" si="2"/>
        <v>1.735596955818038</v>
      </c>
      <c r="F11" s="202">
        <f t="shared" si="3"/>
        <v>100</v>
      </c>
      <c r="G11" s="203">
        <v>1.4</v>
      </c>
      <c r="H11" s="267">
        <v>1</v>
      </c>
      <c r="I11" s="199">
        <f>D12</f>
        <v>290.39</v>
      </c>
      <c r="L11" s="217" t="s">
        <v>222</v>
      </c>
      <c r="M11" s="218" t="s">
        <v>223</v>
      </c>
      <c r="N11" s="386" t="s">
        <v>223</v>
      </c>
      <c r="O11" s="386"/>
      <c r="P11" s="386"/>
      <c r="Q11" s="386"/>
      <c r="R11" s="386"/>
      <c r="S11" s="386"/>
      <c r="T11" s="387"/>
      <c r="AM11" s="326">
        <f t="shared" si="0"/>
        <v>0.5</v>
      </c>
      <c r="AN11" s="326">
        <f t="shared" si="1"/>
        <v>290.39</v>
      </c>
    </row>
    <row r="12" spans="1:40" ht="12.75" customHeight="1" thickBot="1">
      <c r="A12" s="206">
        <v>1</v>
      </c>
      <c r="B12" s="206">
        <v>18</v>
      </c>
      <c r="C12" s="207">
        <v>0</v>
      </c>
      <c r="D12" s="213">
        <f t="shared" si="4"/>
        <v>290.39</v>
      </c>
      <c r="E12" s="209">
        <f t="shared" si="2"/>
        <v>0</v>
      </c>
      <c r="F12" s="210">
        <f t="shared" si="3"/>
        <v>100</v>
      </c>
      <c r="G12" s="211">
        <v>1</v>
      </c>
      <c r="H12" s="206" t="str">
        <f>""</f>
        <v/>
      </c>
      <c r="I12" s="207">
        <f>$D$14</f>
        <v>290.39</v>
      </c>
      <c r="L12" s="219" t="s">
        <v>224</v>
      </c>
      <c r="M12" s="220" t="s">
        <v>225</v>
      </c>
      <c r="N12" s="388" t="s">
        <v>225</v>
      </c>
      <c r="O12" s="388"/>
      <c r="P12" s="388"/>
      <c r="Q12" s="388"/>
      <c r="R12" s="388"/>
      <c r="S12" s="388"/>
      <c r="T12" s="389"/>
      <c r="AM12" s="326" t="str">
        <f t="shared" si="0"/>
        <v>FUNDO</v>
      </c>
      <c r="AN12" s="326">
        <f t="shared" si="1"/>
        <v>290.39</v>
      </c>
    </row>
    <row r="13" spans="1:40">
      <c r="A13" s="198">
        <v>0.5</v>
      </c>
      <c r="B13" s="198">
        <v>35</v>
      </c>
      <c r="C13" s="199">
        <v>0</v>
      </c>
      <c r="D13" s="200">
        <f t="shared" si="4"/>
        <v>290.39</v>
      </c>
      <c r="E13" s="201">
        <f t="shared" si="2"/>
        <v>0</v>
      </c>
      <c r="F13" s="202">
        <f t="shared" si="3"/>
        <v>100</v>
      </c>
      <c r="G13" s="203">
        <v>0.5</v>
      </c>
      <c r="AM13" s="326" t="str">
        <f>$A15</f>
        <v/>
      </c>
      <c r="AN13" s="326">
        <f>$D15</f>
        <v>290.39</v>
      </c>
    </row>
    <row r="14" spans="1:40">
      <c r="A14" s="206" t="s">
        <v>49</v>
      </c>
      <c r="B14" s="206" t="s">
        <v>226</v>
      </c>
      <c r="C14" s="207">
        <v>0</v>
      </c>
      <c r="D14" s="213">
        <f t="shared" si="4"/>
        <v>290.39</v>
      </c>
      <c r="E14" s="209">
        <f t="shared" si="2"/>
        <v>0</v>
      </c>
      <c r="F14" s="210">
        <f t="shared" si="3"/>
        <v>100</v>
      </c>
      <c r="G14" s="211" t="s">
        <v>226</v>
      </c>
    </row>
    <row r="15" spans="1:40" ht="13" thickBot="1">
      <c r="A15" s="221" t="str">
        <f>""</f>
        <v/>
      </c>
      <c r="B15" s="222" t="s">
        <v>227</v>
      </c>
      <c r="C15" s="223">
        <f>SUM(C5:C14)</f>
        <v>290.39</v>
      </c>
      <c r="D15" s="224">
        <f>D14</f>
        <v>290.39</v>
      </c>
      <c r="E15" s="223">
        <f>SUM(E5:E14)/100</f>
        <v>1.0000000000000002</v>
      </c>
      <c r="F15" s="225">
        <f>IFERROR(D15/$D$14*100,"")</f>
        <v>100</v>
      </c>
      <c r="G15" s="226"/>
      <c r="I15" s="227"/>
      <c r="L15" s="227"/>
      <c r="M15" s="227"/>
      <c r="N15" s="227"/>
      <c r="O15" s="227"/>
      <c r="P15" s="227"/>
    </row>
    <row r="16" spans="1:40" ht="13" thickBot="1">
      <c r="A16" s="227"/>
      <c r="B16" s="227"/>
      <c r="C16" s="227"/>
      <c r="D16" s="227"/>
      <c r="E16" s="227"/>
      <c r="F16" s="227"/>
      <c r="G16" s="227"/>
      <c r="H16" s="227"/>
      <c r="I16" s="227"/>
      <c r="L16" s="227"/>
      <c r="M16" s="227"/>
      <c r="N16" s="227"/>
      <c r="O16" s="227"/>
    </row>
    <row r="17" spans="1:17" ht="14.5">
      <c r="A17" s="227"/>
      <c r="B17" s="351" t="s">
        <v>53</v>
      </c>
      <c r="C17" s="353"/>
      <c r="D17" s="227"/>
      <c r="E17" s="227"/>
      <c r="F17" s="227"/>
      <c r="G17" s="227"/>
      <c r="H17" s="227"/>
      <c r="I17" s="227"/>
      <c r="L17" s="227"/>
      <c r="M17" s="227"/>
      <c r="N17" s="227"/>
      <c r="O17" s="227"/>
    </row>
    <row r="18" spans="1:17" ht="14.5">
      <c r="A18" s="227"/>
      <c r="B18" s="111" t="s">
        <v>26</v>
      </c>
      <c r="C18" s="228">
        <f>C15</f>
        <v>290.39</v>
      </c>
      <c r="D18" s="227"/>
      <c r="E18" s="227"/>
      <c r="F18" s="227"/>
      <c r="G18" s="227"/>
      <c r="H18" s="227"/>
      <c r="I18" s="227"/>
      <c r="L18" s="227"/>
      <c r="M18" s="227"/>
      <c r="N18" s="227"/>
      <c r="O18" s="227"/>
    </row>
    <row r="19" spans="1:17" ht="14.5">
      <c r="A19" s="227"/>
      <c r="B19" s="144" t="s">
        <v>54</v>
      </c>
      <c r="C19" s="229">
        <v>310</v>
      </c>
      <c r="D19" s="227"/>
      <c r="E19" s="227"/>
      <c r="F19" s="227"/>
      <c r="G19" s="227"/>
      <c r="H19" s="227"/>
      <c r="I19" s="227"/>
      <c r="L19" s="227"/>
      <c r="M19" s="227"/>
      <c r="N19" s="227"/>
      <c r="O19" s="227"/>
    </row>
    <row r="20" spans="1:17" ht="14.5">
      <c r="A20" s="227"/>
      <c r="B20" s="111" t="s">
        <v>55</v>
      </c>
      <c r="C20" s="228">
        <f>C18/C19</f>
        <v>0.93674193548387097</v>
      </c>
      <c r="D20" s="227"/>
      <c r="E20" s="227"/>
      <c r="F20" s="227"/>
      <c r="G20" s="227"/>
      <c r="H20" s="227"/>
      <c r="I20" s="227"/>
      <c r="L20" s="227"/>
      <c r="M20" s="227"/>
      <c r="N20" s="227"/>
      <c r="O20" s="227"/>
    </row>
    <row r="21" spans="1:17">
      <c r="A21" s="227"/>
      <c r="B21" s="227"/>
      <c r="C21" s="227"/>
      <c r="D21" s="227"/>
      <c r="E21" s="227"/>
      <c r="F21" s="227"/>
      <c r="G21" s="227"/>
      <c r="H21" s="227"/>
      <c r="I21" s="227"/>
      <c r="L21" s="227"/>
      <c r="M21" s="227"/>
      <c r="N21" s="227"/>
      <c r="O21" s="227"/>
    </row>
    <row r="22" spans="1:17">
      <c r="A22" s="227"/>
      <c r="B22" s="227"/>
      <c r="C22" s="227"/>
      <c r="D22" s="227"/>
      <c r="E22" s="227"/>
      <c r="F22" s="227"/>
      <c r="G22" s="227"/>
      <c r="H22" s="265"/>
      <c r="I22" s="266"/>
      <c r="L22" s="227"/>
      <c r="M22" s="227"/>
      <c r="N22" s="227"/>
      <c r="O22" s="227"/>
      <c r="P22" s="227"/>
      <c r="Q22" s="227"/>
    </row>
    <row r="23" spans="1:17">
      <c r="A23" s="227"/>
      <c r="B23" s="227"/>
      <c r="C23" s="227"/>
      <c r="D23" s="227"/>
      <c r="E23" s="227"/>
      <c r="F23" s="227"/>
      <c r="G23" s="227"/>
      <c r="H23" s="227"/>
      <c r="I23" s="227"/>
      <c r="L23" s="227"/>
      <c r="M23" s="227"/>
      <c r="N23" s="227"/>
      <c r="O23" s="227"/>
      <c r="P23" s="227"/>
      <c r="Q23" s="227"/>
    </row>
    <row r="24" spans="1:17">
      <c r="A24" s="227"/>
      <c r="B24" s="227"/>
      <c r="C24" s="227"/>
      <c r="D24" s="227"/>
      <c r="E24" s="227"/>
      <c r="F24" s="227"/>
      <c r="G24" s="227"/>
      <c r="H24" s="227"/>
      <c r="I24" s="227"/>
      <c r="L24" s="227"/>
      <c r="M24" s="227"/>
      <c r="N24" s="227"/>
      <c r="O24" s="227"/>
      <c r="P24" s="227"/>
      <c r="Q24" s="227"/>
    </row>
    <row r="25" spans="1:17" ht="13">
      <c r="A25" s="230"/>
      <c r="B25" s="364" t="s">
        <v>228</v>
      </c>
      <c r="C25" s="231"/>
      <c r="D25" s="364" t="s">
        <v>229</v>
      </c>
      <c r="E25" s="231"/>
      <c r="F25" s="364" t="s">
        <v>230</v>
      </c>
      <c r="G25" s="231"/>
      <c r="H25" s="364" t="s">
        <v>229</v>
      </c>
      <c r="I25" s="231"/>
      <c r="N25" s="227"/>
      <c r="O25" s="227"/>
      <c r="P25" s="227"/>
      <c r="Q25" s="227"/>
    </row>
    <row r="26" spans="1:17" ht="13">
      <c r="A26" s="232"/>
      <c r="B26" s="364"/>
      <c r="C26" s="231"/>
      <c r="D26" s="364"/>
      <c r="E26" s="231"/>
      <c r="F26" s="364"/>
      <c r="G26" s="231"/>
      <c r="H26" s="364"/>
      <c r="I26" s="231"/>
      <c r="N26" s="227"/>
      <c r="O26" s="227"/>
      <c r="P26" s="227"/>
      <c r="Q26" s="227"/>
    </row>
    <row r="27" spans="1:17">
      <c r="A27" s="367" t="s">
        <v>231</v>
      </c>
      <c r="B27" s="368">
        <f>IFERROR(VLOOKUP(D27,F5:G13,2,FALSE),"")</f>
        <v>2.38</v>
      </c>
      <c r="C27" s="370" t="s">
        <v>232</v>
      </c>
      <c r="D27" s="371" cm="1">
        <f t="array" ref="D27">IFERROR(SUMPRODUCT(LARGE((F5:F13&gt;84)*(F5:F13),COUNTIF(F5:F13,"&gt;"&amp;84))),"")</f>
        <v>94.49361203898205</v>
      </c>
      <c r="E27" s="373" t="s">
        <v>233</v>
      </c>
      <c r="F27" s="368">
        <f>IFERROR(VLOOKUP(H27,F5:G13,2,FALSE),"")</f>
        <v>2.8</v>
      </c>
      <c r="G27" s="370" t="s">
        <v>234</v>
      </c>
      <c r="H27" s="371" cm="1">
        <f t="array" ref="H27">IFERROR(SUMPRODUCT(SMALL((F5:F13&gt;0)*(F5:F13),COUNTIF(F5:F13,"&lt;"&amp;84))),"")</f>
        <v>75.891043079995868</v>
      </c>
      <c r="I27" s="264"/>
      <c r="L27" s="377" t="s">
        <v>235</v>
      </c>
      <c r="M27" s="379">
        <f>IFERROR(B27+((D27-84)/(D27-H27))*(F27-B27),"")</f>
        <v>2.6169198074787112</v>
      </c>
      <c r="N27" s="227"/>
      <c r="O27" s="227"/>
      <c r="P27" s="227"/>
      <c r="Q27" s="227"/>
    </row>
    <row r="28" spans="1:17">
      <c r="A28" s="367"/>
      <c r="B28" s="369"/>
      <c r="C28" s="370"/>
      <c r="D28" s="372"/>
      <c r="E28" s="373"/>
      <c r="F28" s="369"/>
      <c r="G28" s="370"/>
      <c r="H28" s="372"/>
      <c r="I28" s="264"/>
      <c r="L28" s="378"/>
      <c r="M28" s="380"/>
      <c r="N28" s="227"/>
      <c r="O28" s="227"/>
      <c r="P28" s="227"/>
      <c r="Q28" s="227"/>
    </row>
    <row r="29" spans="1:17" ht="12" customHeight="1">
      <c r="A29" s="367" t="s">
        <v>236</v>
      </c>
      <c r="B29" s="368">
        <f>IFERROR(VLOOKUP(D29,F5:G13,2,FALSE),"")</f>
        <v>2.8</v>
      </c>
      <c r="C29" s="368" t="s">
        <v>237</v>
      </c>
      <c r="D29" s="371" cm="1">
        <f t="array" ref="D29">IFERROR(SUMPRODUCT(LARGE((F5:F13&gt;50)*(F5:F13),COUNTIF(F5:F13,"&gt;"&amp;50))),"")</f>
        <v>75.891043079995868</v>
      </c>
      <c r="E29" s="374" t="s">
        <v>238</v>
      </c>
      <c r="F29" s="368">
        <f>IFERROR(VLOOKUP(H29,F5:G13,2,FALSE),"")</f>
        <v>3.35</v>
      </c>
      <c r="G29" s="368" t="s">
        <v>239</v>
      </c>
      <c r="H29" s="371" cm="1">
        <f t="array" ref="H29">IFERROR(SUMPRODUCT(SMALL((F5:F13&gt;0)*(F5:F13),COUNTIF(F5:F13,"&lt;"&amp;50))),"")</f>
        <v>47.629050587141435</v>
      </c>
      <c r="I29" s="264"/>
      <c r="L29" s="377" t="s">
        <v>240</v>
      </c>
      <c r="M29" s="379">
        <f>IFERROR(B29+((D29-50)/(D29-H29))*(F29-B29),"")</f>
        <v>3.3038595101742416</v>
      </c>
      <c r="N29" s="227"/>
      <c r="O29" s="227"/>
      <c r="P29" s="227"/>
      <c r="Q29" s="227"/>
    </row>
    <row r="30" spans="1:17" ht="12" customHeight="1">
      <c r="A30" s="367"/>
      <c r="B30" s="369"/>
      <c r="C30" s="369"/>
      <c r="D30" s="372"/>
      <c r="E30" s="375"/>
      <c r="F30" s="369"/>
      <c r="G30" s="369"/>
      <c r="H30" s="372"/>
      <c r="I30" s="264"/>
      <c r="L30" s="378"/>
      <c r="M30" s="380"/>
      <c r="N30" s="227"/>
      <c r="O30" s="227"/>
      <c r="P30" s="227"/>
      <c r="Q30" s="227"/>
    </row>
    <row r="31" spans="1:17" ht="12" customHeight="1">
      <c r="A31" s="367" t="s">
        <v>241</v>
      </c>
      <c r="B31" s="368">
        <f>IFERROR(VLOOKUP(D31,F5:G13,2,FALSE),"")</f>
        <v>3.35</v>
      </c>
      <c r="C31" s="368" t="s">
        <v>242</v>
      </c>
      <c r="D31" s="371" cm="1">
        <f t="array" ref="D31">IFERROR(SUMPRODUCT(LARGE((F5:F13&gt;16)*(F5:F13),COUNTIF(F5:F13,"&gt;"&amp;16))),"")</f>
        <v>47.629050587141435</v>
      </c>
      <c r="E31" s="374" t="s">
        <v>243</v>
      </c>
      <c r="F31" s="368">
        <f>IFERROR(VLOOKUP(H31,F5:G13,2,FALSE),"")</f>
        <v>4</v>
      </c>
      <c r="G31" s="368" t="s">
        <v>244</v>
      </c>
      <c r="H31" s="371" cm="1">
        <f t="array" ref="H31">IFERROR(SUMPRODUCT(SMALL((F5:F13&gt;0)*(F5:F13),COUNTIF(F5:F13,"&lt;"&amp;16))),"")</f>
        <v>12.331691862667448</v>
      </c>
      <c r="I31" s="264"/>
      <c r="L31" s="377" t="s">
        <v>245</v>
      </c>
      <c r="M31" s="379">
        <f>IFERROR(B31+((D31-16)/(D31-H31))*(F31-B31),"")</f>
        <v>3.9324481951219514</v>
      </c>
      <c r="N31" s="227"/>
      <c r="O31" s="227"/>
      <c r="P31" s="227"/>
      <c r="Q31" s="227"/>
    </row>
    <row r="32" spans="1:17" ht="12" customHeight="1">
      <c r="A32" s="367"/>
      <c r="B32" s="369"/>
      <c r="C32" s="369"/>
      <c r="D32" s="372"/>
      <c r="E32" s="375"/>
      <c r="F32" s="369"/>
      <c r="G32" s="369"/>
      <c r="H32" s="372"/>
      <c r="I32" s="264"/>
      <c r="L32" s="378"/>
      <c r="M32" s="380"/>
      <c r="N32" s="227"/>
      <c r="O32" s="227"/>
      <c r="P32" s="227"/>
      <c r="Q32" s="227"/>
    </row>
    <row r="33" spans="1:17">
      <c r="N33" s="227"/>
      <c r="O33" s="227"/>
      <c r="P33" s="227"/>
      <c r="Q33" s="227"/>
    </row>
    <row r="34" spans="1:17">
      <c r="A34" s="227"/>
      <c r="B34" s="227"/>
      <c r="C34" s="227"/>
      <c r="D34" s="227"/>
      <c r="E34" s="227"/>
      <c r="F34" s="227"/>
      <c r="G34" s="227"/>
      <c r="H34" s="227"/>
      <c r="I34" s="227"/>
      <c r="L34" s="227"/>
      <c r="M34" s="227"/>
      <c r="N34" s="227"/>
      <c r="O34" s="227"/>
      <c r="P34" s="227"/>
      <c r="Q34" s="227"/>
    </row>
    <row r="37" spans="1:17" ht="14.5">
      <c r="B37" s="111" t="s">
        <v>26</v>
      </c>
      <c r="C37" s="228">
        <v>137.69999999999999</v>
      </c>
    </row>
    <row r="38" spans="1:17" ht="14.5">
      <c r="B38" s="144" t="s">
        <v>54</v>
      </c>
      <c r="C38" s="162">
        <v>120</v>
      </c>
      <c r="F38" s="194">
        <v>347513</v>
      </c>
    </row>
    <row r="39" spans="1:17" ht="15" thickBot="1">
      <c r="B39" s="157" t="s">
        <v>55</v>
      </c>
      <c r="C39" s="233">
        <f>C37/C38</f>
        <v>1.1475</v>
      </c>
    </row>
    <row r="40" spans="1:17">
      <c r="L40" s="194" t="s">
        <v>246</v>
      </c>
    </row>
    <row r="43" spans="1:17" ht="29">
      <c r="B43" s="65" t="s">
        <v>207</v>
      </c>
      <c r="C43" s="65" t="s">
        <v>26</v>
      </c>
      <c r="D43" s="65" t="s">
        <v>247</v>
      </c>
      <c r="E43" s="234" t="s">
        <v>248</v>
      </c>
      <c r="F43" s="234" t="s">
        <v>215</v>
      </c>
      <c r="G43" s="234" t="s">
        <v>216</v>
      </c>
      <c r="H43" s="234" t="s">
        <v>217</v>
      </c>
      <c r="I43"/>
      <c r="J43"/>
    </row>
    <row r="44" spans="1:17" ht="14.5">
      <c r="B44" s="65">
        <v>4.8</v>
      </c>
      <c r="C44" s="94">
        <v>0</v>
      </c>
      <c r="D44" s="183">
        <f t="shared" ref="D44:D53" si="5">C44/$C$54</f>
        <v>0</v>
      </c>
      <c r="E44" s="94">
        <f>C44</f>
        <v>0</v>
      </c>
      <c r="F44" s="235">
        <f>E44</f>
        <v>0</v>
      </c>
      <c r="G44" s="235">
        <f>E49</f>
        <v>285.34999999999997</v>
      </c>
      <c r="H44" s="235">
        <f>E51</f>
        <v>290.39</v>
      </c>
      <c r="I44"/>
      <c r="J44"/>
    </row>
    <row r="45" spans="1:17" ht="14.5">
      <c r="B45" s="65">
        <v>4</v>
      </c>
      <c r="C45" s="94">
        <f t="shared" ref="C45:C53" si="6">C6</f>
        <v>35.81</v>
      </c>
      <c r="D45" s="183">
        <f t="shared" si="5"/>
        <v>0.12331691862667449</v>
      </c>
      <c r="E45" s="94">
        <f>SUM(C$44:$C45)</f>
        <v>35.81</v>
      </c>
      <c r="F45" s="376"/>
      <c r="G45" s="376"/>
      <c r="H45" s="376"/>
      <c r="I45" s="96"/>
      <c r="J45" s="96"/>
    </row>
    <row r="46" spans="1:17" ht="14.5">
      <c r="B46" s="65">
        <v>3.36</v>
      </c>
      <c r="C46" s="94">
        <f t="shared" si="6"/>
        <v>102.5</v>
      </c>
      <c r="D46" s="183">
        <f t="shared" si="5"/>
        <v>0.35297358724473987</v>
      </c>
      <c r="E46" s="94">
        <f>SUM(C$44:$C46)</f>
        <v>138.31</v>
      </c>
      <c r="F46" s="376"/>
      <c r="G46" s="376"/>
      <c r="H46" s="376"/>
      <c r="I46" s="96"/>
      <c r="J46" s="96"/>
    </row>
    <row r="47" spans="1:17" ht="14.5">
      <c r="B47" s="65">
        <v>2.8</v>
      </c>
      <c r="C47" s="94">
        <f t="shared" si="6"/>
        <v>82.07</v>
      </c>
      <c r="D47" s="183">
        <f t="shared" si="5"/>
        <v>0.28261992492854437</v>
      </c>
      <c r="E47" s="94">
        <f>SUM(C$44:$C47)</f>
        <v>220.38</v>
      </c>
      <c r="F47" s="376"/>
      <c r="G47" s="376"/>
      <c r="H47" s="376"/>
      <c r="J47" s="96"/>
    </row>
    <row r="48" spans="1:17" ht="14.5">
      <c r="B48" s="65">
        <v>2.36</v>
      </c>
      <c r="C48" s="94">
        <f t="shared" si="6"/>
        <v>54.02</v>
      </c>
      <c r="D48" s="183">
        <f t="shared" si="5"/>
        <v>0.18602568958986193</v>
      </c>
      <c r="E48" s="94">
        <f>SUM(C$44:$C48)</f>
        <v>274.39999999999998</v>
      </c>
      <c r="F48" s="376"/>
      <c r="G48" s="376"/>
      <c r="H48" s="376"/>
      <c r="J48" s="96"/>
    </row>
    <row r="49" spans="2:10" ht="14.5">
      <c r="B49" s="65">
        <v>2</v>
      </c>
      <c r="C49" s="94">
        <f t="shared" si="6"/>
        <v>10.95</v>
      </c>
      <c r="D49" s="183">
        <f t="shared" si="5"/>
        <v>3.7707910051999034E-2</v>
      </c>
      <c r="E49" s="94">
        <f>SUM(C$44:$C49)</f>
        <v>285.34999999999997</v>
      </c>
      <c r="F49" s="376"/>
      <c r="G49" s="376"/>
      <c r="H49" s="376"/>
      <c r="I49" s="96"/>
      <c r="J49" s="96"/>
    </row>
    <row r="50" spans="2:10" ht="14.5">
      <c r="B50" s="65">
        <v>1.41</v>
      </c>
      <c r="C50" s="94">
        <f t="shared" si="6"/>
        <v>5.04</v>
      </c>
      <c r="D50" s="183">
        <f t="shared" si="5"/>
        <v>1.7355969558180379E-2</v>
      </c>
      <c r="E50" s="94">
        <f>SUM(C$44:$C50)</f>
        <v>290.39</v>
      </c>
      <c r="F50" s="376"/>
      <c r="G50" s="376"/>
      <c r="H50" s="376"/>
      <c r="I50" s="96"/>
      <c r="J50" s="96"/>
    </row>
    <row r="51" spans="2:10" ht="14.5">
      <c r="B51" s="65">
        <v>1</v>
      </c>
      <c r="C51" s="94">
        <f t="shared" si="6"/>
        <v>0</v>
      </c>
      <c r="D51" s="183">
        <f t="shared" si="5"/>
        <v>0</v>
      </c>
      <c r="E51" s="94">
        <f>SUM(C$44:$C51)</f>
        <v>290.39</v>
      </c>
      <c r="F51" s="376"/>
      <c r="G51" s="376"/>
      <c r="H51" s="376"/>
      <c r="I51" s="96"/>
      <c r="J51" s="96"/>
    </row>
    <row r="52" spans="2:10" ht="14.5">
      <c r="B52" s="65">
        <v>0.5</v>
      </c>
      <c r="C52" s="94">
        <f t="shared" si="6"/>
        <v>0</v>
      </c>
      <c r="D52" s="183">
        <f t="shared" si="5"/>
        <v>0</v>
      </c>
      <c r="E52" s="94">
        <f>SUM(C$44:$C52)</f>
        <v>290.39</v>
      </c>
      <c r="F52" s="376"/>
      <c r="G52" s="376"/>
      <c r="H52" s="376"/>
      <c r="I52" s="96"/>
      <c r="J52" s="96"/>
    </row>
    <row r="53" spans="2:10" ht="14.5">
      <c r="B53" s="65" t="s">
        <v>49</v>
      </c>
      <c r="C53" s="94">
        <f t="shared" si="6"/>
        <v>0</v>
      </c>
      <c r="D53" s="183">
        <f t="shared" si="5"/>
        <v>0</v>
      </c>
      <c r="E53" s="94">
        <f>SUM(C$44:$C53)</f>
        <v>290.39</v>
      </c>
      <c r="F53" s="376"/>
      <c r="G53" s="376"/>
      <c r="H53" s="376"/>
      <c r="I53" s="96"/>
      <c r="J53" s="96"/>
    </row>
    <row r="54" spans="2:10" ht="14.5">
      <c r="B54" s="65"/>
      <c r="C54" s="65">
        <f>SUM(C44:C53)</f>
        <v>290.39</v>
      </c>
      <c r="D54" s="65"/>
      <c r="E54" s="65"/>
      <c r="F54" s="376"/>
      <c r="G54" s="376"/>
      <c r="H54" s="376"/>
      <c r="I54" s="96"/>
      <c r="J54" s="96"/>
    </row>
  </sheetData>
  <mergeCells count="50">
    <mergeCell ref="F45:H54"/>
    <mergeCell ref="L31:L32"/>
    <mergeCell ref="M31:M32"/>
    <mergeCell ref="L27:L28"/>
    <mergeCell ref="L9:T9"/>
    <mergeCell ref="N10:T10"/>
    <mergeCell ref="N11:T11"/>
    <mergeCell ref="N12:T12"/>
    <mergeCell ref="F31:F32"/>
    <mergeCell ref="G31:G32"/>
    <mergeCell ref="H31:H32"/>
    <mergeCell ref="M27:M28"/>
    <mergeCell ref="F29:F30"/>
    <mergeCell ref="F27:F28"/>
    <mergeCell ref="M29:M30"/>
    <mergeCell ref="L29:L30"/>
    <mergeCell ref="H3:H4"/>
    <mergeCell ref="I3:I4"/>
    <mergeCell ref="G29:G30"/>
    <mergeCell ref="H29:H30"/>
    <mergeCell ref="G27:G28"/>
    <mergeCell ref="H27:H28"/>
    <mergeCell ref="H25:H26"/>
    <mergeCell ref="A31:A32"/>
    <mergeCell ref="B31:B32"/>
    <mergeCell ref="C31:C32"/>
    <mergeCell ref="D31:D32"/>
    <mergeCell ref="E31:E32"/>
    <mergeCell ref="A29:A30"/>
    <mergeCell ref="B29:B30"/>
    <mergeCell ref="C29:C30"/>
    <mergeCell ref="D29:D30"/>
    <mergeCell ref="E29:E30"/>
    <mergeCell ref="A27:A28"/>
    <mergeCell ref="B27:B28"/>
    <mergeCell ref="C27:C28"/>
    <mergeCell ref="D27:D28"/>
    <mergeCell ref="E27:E28"/>
    <mergeCell ref="F3:F4"/>
    <mergeCell ref="G3:G4"/>
    <mergeCell ref="A1:F2"/>
    <mergeCell ref="B17:C17"/>
    <mergeCell ref="B25:B26"/>
    <mergeCell ref="D25:D26"/>
    <mergeCell ref="F25:F26"/>
    <mergeCell ref="A3:A4"/>
    <mergeCell ref="B3:B4"/>
    <mergeCell ref="C3:C4"/>
    <mergeCell ref="D3:D4"/>
    <mergeCell ref="E3:E4"/>
  </mergeCells>
  <pageMargins left="0.511811024" right="0.511811024" top="0.78740157499999996" bottom="0.78740157499999996" header="0.31496062000000002" footer="0.31496062000000002"/>
  <pageSetup orientation="portrait" r:id="rId1"/>
  <ignoredErrors>
    <ignoredError sqref="D5:F6 I6 I10 I8 F15 D8:F14 E7:F7" unlockedFormula="1"/>
    <ignoredError sqref="I12 I7" formula="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iarEColar">
                <anchor moveWithCells="1">
                  <from>
                    <xdr:col>7</xdr:col>
                    <xdr:colOff>57150</xdr:colOff>
                    <xdr:row>0</xdr:row>
                    <xdr:rowOff>57150</xdr:rowOff>
                  </from>
                  <to>
                    <xdr:col>8</xdr:col>
                    <xdr:colOff>1003300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F9225-68E5-4B7F-BC3F-2AD18BCE18BC}">
  <sheetPr codeName="Planilha15"/>
  <dimension ref="A1:U26"/>
  <sheetViews>
    <sheetView showGridLines="0" tabSelected="1" topLeftCell="C1" zoomScale="115" zoomScaleNormal="115" workbookViewId="0">
      <selection activeCell="F13" sqref="F13"/>
    </sheetView>
  </sheetViews>
  <sheetFormatPr defaultRowHeight="14.5"/>
  <cols>
    <col min="1" max="1" width="1.81640625" style="115" hidden="1" customWidth="1"/>
    <col min="2" max="2" width="6.1796875" style="115" hidden="1" customWidth="1"/>
    <col min="3" max="3" width="4.36328125" style="115" customWidth="1"/>
    <col min="4" max="4" width="8" style="115" customWidth="1"/>
    <col min="5" max="5" width="14.36328125" style="115" bestFit="1" customWidth="1"/>
    <col min="6" max="6" width="6.36328125" style="115" customWidth="1"/>
    <col min="7" max="7" width="10.08984375" style="115" customWidth="1"/>
    <col min="8" max="9" width="8.7265625" style="115"/>
    <col min="10" max="10" width="10.08984375" style="115" customWidth="1"/>
    <col min="11" max="11" width="8.7265625" style="115" customWidth="1"/>
    <col min="12" max="12" width="8.7265625" style="115"/>
    <col min="13" max="13" width="10.08984375" style="115" customWidth="1"/>
    <col min="14" max="15" width="8.7265625" style="115"/>
    <col min="16" max="16" width="10.08984375" style="115" customWidth="1"/>
    <col min="17" max="16384" width="8.7265625" style="115"/>
  </cols>
  <sheetData>
    <row r="1" spans="1:21" customFormat="1" ht="34.5" customHeight="1" thickBot="1">
      <c r="A1" s="335"/>
      <c r="B1" s="336"/>
      <c r="C1" s="336"/>
      <c r="D1" s="336"/>
      <c r="E1" s="336"/>
      <c r="F1" s="336"/>
      <c r="G1" s="346"/>
      <c r="H1" s="346"/>
      <c r="I1" s="336"/>
      <c r="J1" s="336"/>
      <c r="K1" s="336"/>
      <c r="L1" s="337">
        <v>1</v>
      </c>
      <c r="M1" s="337">
        <v>2</v>
      </c>
      <c r="N1" s="338" t="s">
        <v>299</v>
      </c>
      <c r="O1" s="339"/>
      <c r="P1" s="336"/>
      <c r="Q1" s="336"/>
      <c r="R1" s="336"/>
      <c r="S1" s="336"/>
      <c r="T1" s="336"/>
      <c r="U1" s="336"/>
    </row>
    <row r="2" spans="1:21" ht="29" customHeight="1">
      <c r="G2" s="334" t="s">
        <v>323</v>
      </c>
      <c r="H2" s="324"/>
      <c r="J2" s="334" t="s">
        <v>326</v>
      </c>
      <c r="K2" s="324"/>
      <c r="M2" s="334" t="s">
        <v>327</v>
      </c>
      <c r="N2" s="324"/>
      <c r="P2" s="334" t="s">
        <v>328</v>
      </c>
      <c r="Q2" s="324"/>
    </row>
    <row r="3" spans="1:21">
      <c r="G3" s="65" t="str" cm="1">
        <f t="array" ref="G3:H6">IF($E$6=$B$6,N_Com,IF($E$6=$B$7,N_Sem,IF($E$6=$B$8,P,IF($E$6=$B$9,K,IF($E$6=$B$10,S,IF($E$6=$B$11,B,IF($E$6=$B$12,BA,IF($E$6=$B$13,Granul_Retida1,IF($E$6=$B$14,Granul_Retida2,"")))))))))</f>
        <v>Fator</v>
      </c>
      <c r="H3" s="65">
        <v>2.8014000000000001</v>
      </c>
      <c r="J3" s="65" t="str" cm="1">
        <f t="array" ref="J3:K5">IF($E$7=$B$6,N_Com,IF($E$7=$B$7,N_Sem,IF($E$7=$B$8,P,IF($E$7=$B$9,K,IF($E$7=$B$10,S,IF($E$7=$B$11,B,IF($E$7=$B$12,BA,IF($E$7=$B$13,Granul_Retida1,IF($E$7=$B$14,Granul_Retida2,"")))))))))</f>
        <v>Massa</v>
      </c>
      <c r="K3" s="65">
        <v>0.51400000000000001</v>
      </c>
      <c r="M3" s="65" t="str" cm="1">
        <f t="array" ref="M3:N6">IF($E$8=$B$6,N_Com,IF($E$8=$B$7,N_Sem,IF($E$8=$B$8,P,IF($E$8=$B$9,K,IF($E$8=$B$10,S,IF($E$8=$B$11,B,IF($E$8=$B$12,BA,IF($E$8=$B$13,Granul_Retida1,IF($E$8=$B$14,Granul_Retida2,"")))))))))</f>
        <v>Massa</v>
      </c>
      <c r="N3" s="65">
        <v>0.5171</v>
      </c>
      <c r="P3" s="65" t="str" cm="1">
        <f t="array" ref="P3:Q6">IF($E$9=$B$6,N_Com,IF($E$9=$B$7,N_Sem,IF($E$9=$B$8,P,IF($E$9=$B$9,K,IF($E$9=$B$10,S,IF($E$9=$B$11,B,IF($E$9=$B$12,BA,IF($E$9=$B$13,Granul_Retida1,IF($E$9=$B$14,Granul_Retida2,"")))))))))</f>
        <v>Massa</v>
      </c>
      <c r="Q3" s="65">
        <v>0.53169999999999995</v>
      </c>
    </row>
    <row r="4" spans="1:21" ht="15" thickBot="1">
      <c r="G4" s="65" t="str">
        <v>Vg</v>
      </c>
      <c r="H4" s="65">
        <v>7.7201000000000004</v>
      </c>
      <c r="J4" s="65" t="str">
        <v>Vg</v>
      </c>
      <c r="K4" s="65">
        <v>8.8238000000000003</v>
      </c>
      <c r="M4" s="65" t="str">
        <v>Aliquota</v>
      </c>
      <c r="N4" s="65">
        <v>40</v>
      </c>
      <c r="P4" s="65" t="str">
        <v>V2</v>
      </c>
      <c r="Q4" s="65">
        <v>100</v>
      </c>
    </row>
    <row r="5" spans="1:21" ht="15" thickBot="1">
      <c r="D5" s="390" t="s">
        <v>322</v>
      </c>
      <c r="E5" s="391"/>
      <c r="G5" s="65" t="str">
        <v>Normali</v>
      </c>
      <c r="H5" s="65">
        <v>2.5600000000000001E-2</v>
      </c>
      <c r="J5" s="65" t="str">
        <v>Normali</v>
      </c>
      <c r="K5" s="65">
        <v>0.49930000000000002</v>
      </c>
      <c r="M5" s="65" t="str">
        <v>Cad cheio</v>
      </c>
      <c r="N5" s="65">
        <v>49.223700000000001</v>
      </c>
      <c r="P5" s="65" t="str">
        <v>Aliquota</v>
      </c>
      <c r="Q5" s="65">
        <v>30</v>
      </c>
    </row>
    <row r="6" spans="1:21">
      <c r="A6" s="115">
        <v>1</v>
      </c>
      <c r="B6" s="115" t="s">
        <v>320</v>
      </c>
      <c r="D6" s="322" t="s">
        <v>323</v>
      </c>
      <c r="E6" s="323" t="s">
        <v>320</v>
      </c>
      <c r="G6" s="65" t="str">
        <v>Massa</v>
      </c>
      <c r="H6" s="65">
        <v>1.1073</v>
      </c>
      <c r="J6" s="65"/>
      <c r="K6" s="65"/>
      <c r="M6" s="65" t="str">
        <v>Cad vazio</v>
      </c>
      <c r="N6" s="65">
        <v>48.914099999999998</v>
      </c>
      <c r="P6" s="65" t="str">
        <v>Leitura</v>
      </c>
      <c r="Q6" s="65">
        <v>37.06</v>
      </c>
    </row>
    <row r="7" spans="1:21">
      <c r="A7" s="115">
        <v>2</v>
      </c>
      <c r="B7" s="115" t="s">
        <v>321</v>
      </c>
      <c r="D7" s="111" t="s">
        <v>326</v>
      </c>
      <c r="E7" s="323" t="s">
        <v>321</v>
      </c>
      <c r="G7" s="65"/>
      <c r="H7" s="65"/>
      <c r="J7" s="65"/>
      <c r="K7" s="65"/>
      <c r="M7" s="65"/>
      <c r="N7" s="65"/>
      <c r="P7" s="65"/>
      <c r="Q7" s="65"/>
    </row>
    <row r="8" spans="1:21">
      <c r="A8" s="115">
        <v>3</v>
      </c>
      <c r="B8" s="115" t="s">
        <v>107</v>
      </c>
      <c r="D8" s="111" t="s">
        <v>327</v>
      </c>
      <c r="E8" s="323" t="s">
        <v>107</v>
      </c>
      <c r="G8" s="65"/>
      <c r="H8" s="65"/>
      <c r="J8" s="65"/>
      <c r="K8" s="65"/>
      <c r="M8" s="65"/>
      <c r="N8" s="65"/>
      <c r="P8" s="65"/>
      <c r="Q8" s="65"/>
    </row>
    <row r="9" spans="1:21">
      <c r="A9" s="115">
        <v>4</v>
      </c>
      <c r="B9" s="115" t="s">
        <v>127</v>
      </c>
      <c r="D9" s="111" t="s">
        <v>328</v>
      </c>
      <c r="E9" s="323" t="s">
        <v>127</v>
      </c>
      <c r="G9" s="65"/>
      <c r="H9" s="65"/>
      <c r="J9" s="65"/>
      <c r="K9" s="65"/>
      <c r="M9" s="65"/>
      <c r="N9" s="65"/>
      <c r="P9" s="65"/>
      <c r="Q9" s="65"/>
    </row>
    <row r="10" spans="1:21">
      <c r="A10" s="115">
        <v>5</v>
      </c>
      <c r="B10" s="115" t="s">
        <v>126</v>
      </c>
      <c r="D10" s="111" t="s">
        <v>329</v>
      </c>
      <c r="E10" s="323" t="s">
        <v>126</v>
      </c>
      <c r="G10" s="65"/>
      <c r="H10" s="65"/>
      <c r="J10" s="65"/>
      <c r="K10" s="65"/>
      <c r="M10" s="65"/>
      <c r="N10" s="65"/>
      <c r="P10" s="65"/>
      <c r="Q10" s="65"/>
    </row>
    <row r="11" spans="1:21">
      <c r="A11" s="115">
        <v>6</v>
      </c>
      <c r="B11" s="115" t="s">
        <v>108</v>
      </c>
      <c r="D11" s="111" t="s">
        <v>330</v>
      </c>
      <c r="E11" s="323" t="s">
        <v>108</v>
      </c>
      <c r="G11" s="65"/>
      <c r="H11" s="65"/>
      <c r="J11" s="65"/>
      <c r="K11" s="65"/>
      <c r="M11" s="65"/>
      <c r="N11" s="65"/>
      <c r="P11" s="65"/>
      <c r="Q11" s="65"/>
    </row>
    <row r="12" spans="1:21">
      <c r="A12" s="115">
        <v>7</v>
      </c>
      <c r="B12" s="115" t="s">
        <v>319</v>
      </c>
      <c r="D12" s="111" t="s">
        <v>331</v>
      </c>
      <c r="E12" s="323" t="s">
        <v>324</v>
      </c>
      <c r="G12" s="65"/>
      <c r="H12" s="65"/>
      <c r="J12" s="65"/>
      <c r="K12" s="65"/>
      <c r="M12" s="65"/>
      <c r="N12" s="65"/>
      <c r="P12" s="65"/>
      <c r="Q12" s="65"/>
    </row>
    <row r="13" spans="1:21" ht="15" thickBot="1">
      <c r="A13" s="115">
        <v>8</v>
      </c>
      <c r="B13" s="115" t="s">
        <v>324</v>
      </c>
      <c r="D13" s="113" t="s">
        <v>332</v>
      </c>
      <c r="E13" s="333" t="s">
        <v>325</v>
      </c>
      <c r="G13" s="65"/>
      <c r="H13" s="65"/>
      <c r="J13" s="65"/>
      <c r="K13" s="65"/>
      <c r="M13" s="65"/>
      <c r="N13" s="65"/>
      <c r="P13" s="65"/>
      <c r="Q13" s="65"/>
    </row>
    <row r="14" spans="1:21">
      <c r="A14" s="115">
        <v>9</v>
      </c>
      <c r="B14" s="115" t="s">
        <v>325</v>
      </c>
    </row>
    <row r="15" spans="1:21">
      <c r="G15" s="325" t="s">
        <v>329</v>
      </c>
      <c r="H15" s="324"/>
      <c r="J15" s="325" t="s">
        <v>330</v>
      </c>
      <c r="K15" s="324"/>
      <c r="M15" s="325" t="s">
        <v>331</v>
      </c>
      <c r="N15" s="324"/>
      <c r="P15" s="325" t="s">
        <v>332</v>
      </c>
      <c r="Q15" s="324"/>
    </row>
    <row r="16" spans="1:21">
      <c r="D16" s="115" t="s">
        <v>335</v>
      </c>
      <c r="E16" s="482">
        <f>N!H6</f>
        <v>25.000156072609055</v>
      </c>
      <c r="G16" s="65" t="str" cm="1">
        <f t="array" ref="G16:H20">IF($E$10=$B$6,N_Com,IF($E$10=$B$7,N_Sem,IF($E$10=$B$8,P,IF($E$10=$B$9,K,IF($E$10=$B$10,S,IF($E$10=$B$11,B,IF($E$10=$B$12,BA,IF($E$10=$B$13,Granul_Retida1,IF($E$10=$B$14,Granul_Retida2,"")))))))))</f>
        <v>Cad Cheio</v>
      </c>
      <c r="H16" s="65">
        <v>45.7136</v>
      </c>
      <c r="J16" s="65" t="str" cm="1">
        <f t="array" ref="J16:K21">IF($E$11=$B$6,N_Com,IF($E$11=$B$7,N_Sem,IF($E$11=$B$8,P,IF($E$11=$B$9,K,IF($E$11=$B$10,S,IF($E$11=$B$11,B,IF($E$11=$B$12,BA,IF($E$11=$B$13,Granul_Retida1,IF($E$11=$B$14,Granul_Retida2,"")))))))))</f>
        <v>1º vol</v>
      </c>
      <c r="K16" s="65">
        <v>250</v>
      </c>
      <c r="M16" s="65" cm="1">
        <f t="array" ref="M16:N26">IF($E$12=$B$6,N_Com,IF($E$12=$B$7,N_Sem,IF($E$12=$B$8,P,IF($E$12=$B$9,K,IF($E$12=$B$10,S,IF($E$12=$B$11,B,IF($E$12=$B$12,BA,IF($E$12=$B$13,Granul_Retida1,IF($E$12=$B$14,Granul_Retida2,"")))))))))</f>
        <v>4.8</v>
      </c>
      <c r="N16" s="65">
        <v>0</v>
      </c>
      <c r="P16" s="65" cm="1">
        <f t="array" ref="P16:Q23">IF($E$13=$B$6,N_Com,IF($E$13=$B$7,N_Sem,IF($E$13=$B$8,P,IF($E$13=$B$9,K,IF($E$13=$B$10,S,IF($E$13=$B$11,B,IF($E$13=$B$12,BA,IF($E$13=$B$13,Granul_Retida1,IF($E$13=$B$14,Granul_Retida2,"")))))))))</f>
        <v>4.8</v>
      </c>
      <c r="Q16" s="65">
        <v>0</v>
      </c>
    </row>
    <row r="17" spans="4:17">
      <c r="D17" s="115" t="s">
        <v>336</v>
      </c>
      <c r="E17" s="482">
        <f>N!R6</f>
        <v>12.000024661478601</v>
      </c>
      <c r="G17" s="65" t="str">
        <v>Cad vazio</v>
      </c>
      <c r="H17" s="65">
        <v>45.694400000000002</v>
      </c>
      <c r="J17" s="65" t="str">
        <v>Alíq</v>
      </c>
      <c r="K17" s="65">
        <v>10</v>
      </c>
      <c r="M17" s="65">
        <v>4</v>
      </c>
      <c r="N17" s="65">
        <v>35.81</v>
      </c>
      <c r="P17" s="65" t="str">
        <v/>
      </c>
      <c r="Q17" s="65">
        <v>290.39</v>
      </c>
    </row>
    <row r="18" spans="4:17">
      <c r="D18" s="115" t="s">
        <v>107</v>
      </c>
      <c r="E18" s="482">
        <f>P!H6</f>
        <v>12.000667182363301</v>
      </c>
      <c r="G18" s="65" t="str">
        <v>Massa</v>
      </c>
      <c r="H18" s="65">
        <v>0.52880000000000005</v>
      </c>
      <c r="J18" s="65" t="str">
        <v>Leitura</v>
      </c>
      <c r="K18" s="65">
        <v>4.1100000000000003</v>
      </c>
      <c r="M18" s="65">
        <v>3.36</v>
      </c>
      <c r="N18" s="65">
        <v>138.31</v>
      </c>
      <c r="P18" s="65">
        <v>4</v>
      </c>
      <c r="Q18" s="65">
        <v>35.81</v>
      </c>
    </row>
    <row r="19" spans="4:17">
      <c r="D19" s="115" t="s">
        <v>127</v>
      </c>
      <c r="E19" s="482">
        <f>K!H6</f>
        <v>6.9991379850793072</v>
      </c>
      <c r="G19" s="65" t="str">
        <v>Balão</v>
      </c>
      <c r="H19" s="65">
        <v>1</v>
      </c>
      <c r="J19" s="65" t="str">
        <v>Massa</v>
      </c>
      <c r="K19" s="65">
        <v>1.008</v>
      </c>
      <c r="M19" s="65">
        <v>2.8</v>
      </c>
      <c r="N19" s="65">
        <v>220.38</v>
      </c>
      <c r="P19" s="65" t="str">
        <v/>
      </c>
      <c r="Q19" s="65">
        <v>290.39</v>
      </c>
    </row>
    <row r="20" spans="4:17">
      <c r="D20" s="115" t="s">
        <v>126</v>
      </c>
      <c r="E20" s="482">
        <f>S!G6</f>
        <v>0.49888048411492236</v>
      </c>
      <c r="G20" s="65" t="str">
        <v>Alíquota</v>
      </c>
      <c r="H20" s="65">
        <v>1</v>
      </c>
      <c r="J20" s="65" t="str">
        <v>Fator C</v>
      </c>
      <c r="K20" s="65">
        <v>0.98040000000000005</v>
      </c>
      <c r="M20" s="65">
        <v>2.36</v>
      </c>
      <c r="N20" s="65">
        <v>274.39999999999998</v>
      </c>
      <c r="P20" s="65">
        <v>2</v>
      </c>
      <c r="Q20" s="65">
        <v>285.34999999999997</v>
      </c>
    </row>
    <row r="21" spans="4:17">
      <c r="D21" s="115" t="s">
        <v>108</v>
      </c>
      <c r="E21" s="482">
        <f>B!M6</f>
        <v>0.99939999999999996</v>
      </c>
      <c r="G21" s="65"/>
      <c r="H21" s="65"/>
      <c r="J21" s="65" t="str">
        <v>Result final</v>
      </c>
      <c r="K21" s="65">
        <v>0.99939999999999996</v>
      </c>
      <c r="M21" s="65">
        <v>2</v>
      </c>
      <c r="N21" s="65">
        <v>285.34999999999997</v>
      </c>
      <c r="P21" s="65" t="str">
        <v/>
      </c>
      <c r="Q21" s="65">
        <v>290.39</v>
      </c>
    </row>
    <row r="22" spans="4:17">
      <c r="D22" s="115" t="s">
        <v>319</v>
      </c>
      <c r="E22" s="482">
        <f>BA!H6</f>
        <v>0.4</v>
      </c>
      <c r="G22" s="65"/>
      <c r="H22" s="65"/>
      <c r="J22" s="65"/>
      <c r="K22" s="65"/>
      <c r="M22" s="65">
        <v>1.41</v>
      </c>
      <c r="N22" s="65">
        <v>290.39</v>
      </c>
      <c r="P22" s="65">
        <v>1</v>
      </c>
      <c r="Q22" s="65">
        <v>290.39</v>
      </c>
    </row>
    <row r="23" spans="4:17">
      <c r="G23" s="65"/>
      <c r="H23" s="65"/>
      <c r="J23" s="65"/>
      <c r="K23" s="65"/>
      <c r="M23" s="65">
        <v>1</v>
      </c>
      <c r="N23" s="65">
        <v>290.39</v>
      </c>
      <c r="P23" s="65" t="str">
        <v/>
      </c>
      <c r="Q23" s="65">
        <v>290.39</v>
      </c>
    </row>
    <row r="24" spans="4:17">
      <c r="G24" s="65"/>
      <c r="H24" s="65"/>
      <c r="J24" s="65"/>
      <c r="K24" s="65"/>
      <c r="M24" s="65">
        <v>0.5</v>
      </c>
      <c r="N24" s="65">
        <v>290.39</v>
      </c>
      <c r="P24" s="65"/>
      <c r="Q24" s="65"/>
    </row>
    <row r="25" spans="4:17">
      <c r="G25" s="65"/>
      <c r="H25" s="65"/>
      <c r="J25" s="65"/>
      <c r="K25" s="65"/>
      <c r="M25" s="65" t="str">
        <v>FUNDO</v>
      </c>
      <c r="N25" s="65">
        <v>290.39</v>
      </c>
      <c r="P25" s="65"/>
      <c r="Q25" s="65"/>
    </row>
    <row r="26" spans="4:17">
      <c r="G26" s="65"/>
      <c r="H26" s="65"/>
      <c r="J26" s="65"/>
      <c r="K26" s="65"/>
      <c r="M26" s="65" t="str">
        <v/>
      </c>
      <c r="N26" s="65">
        <v>290.39</v>
      </c>
      <c r="P26" s="65"/>
      <c r="Q26" s="65"/>
    </row>
  </sheetData>
  <mergeCells count="1">
    <mergeCell ref="D5:E5"/>
  </mergeCells>
  <phoneticPr fontId="33" type="noConversion"/>
  <dataValidations count="1">
    <dataValidation type="list" allowBlank="1" showInputMessage="1" showErrorMessage="1" sqref="E6:E13" xr:uid="{11B9D335-BEDA-47F9-A27F-228227861143}">
      <formula1>$B$6:$B$14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3" name="Button 3">
              <controlPr defaultSize="0" print="0" autoFill="0" autoPict="0" macro="[0]!CopiarEColar">
                <anchor moveWithCells="1">
                  <from>
                    <xdr:col>3</xdr:col>
                    <xdr:colOff>0</xdr:colOff>
                    <xdr:row>2</xdr:row>
                    <xdr:rowOff>44450</xdr:rowOff>
                  </from>
                  <to>
                    <xdr:col>4</xdr:col>
                    <xdr:colOff>1003300</xdr:colOff>
                    <xdr:row>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4" name="Button 6">
              <controlPr defaultSize="0" print="0" autoFill="0" autoPict="0" macro="[0]!SelecionarColunasContinuidade">
                <anchor moveWithCells="1">
                  <from>
                    <xdr:col>3</xdr:col>
                    <xdr:colOff>12700</xdr:colOff>
                    <xdr:row>1</xdr:row>
                    <xdr:rowOff>76200</xdr:rowOff>
                  </from>
                  <to>
                    <xdr:col>5</xdr:col>
                    <xdr:colOff>6350</xdr:colOff>
                    <xdr:row>1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8B7E2-1621-4DA2-9127-24F0A281D2B3}">
  <sheetPr codeName="Planilha10"/>
  <dimension ref="B1:J42"/>
  <sheetViews>
    <sheetView showGridLines="0" workbookViewId="0">
      <selection activeCell="H7" sqref="H7"/>
    </sheetView>
  </sheetViews>
  <sheetFormatPr defaultRowHeight="14.5"/>
  <cols>
    <col min="2" max="2" width="10.26953125" style="115" customWidth="1"/>
    <col min="3" max="3" width="14.26953125" style="115" bestFit="1" customWidth="1"/>
    <col min="4" max="4" width="11.26953125" style="115" bestFit="1" customWidth="1"/>
    <col min="5" max="5" width="14.7265625" style="115" bestFit="1" customWidth="1"/>
    <col min="6" max="6" width="12.453125" style="115" bestFit="1" customWidth="1"/>
    <col min="7" max="7" width="10.26953125" style="115" customWidth="1"/>
    <col min="8" max="8" width="14.26953125" bestFit="1" customWidth="1"/>
    <col min="9" max="9" width="11.26953125" bestFit="1" customWidth="1"/>
    <col min="10" max="10" width="9.81640625" bestFit="1" customWidth="1"/>
  </cols>
  <sheetData>
    <row r="1" spans="2:8" ht="33.5" customHeight="1" thickBot="1"/>
    <row r="2" spans="2:8">
      <c r="B2" s="355" t="s">
        <v>56</v>
      </c>
      <c r="C2" s="356"/>
      <c r="D2" s="356"/>
      <c r="E2" s="356"/>
      <c r="F2" s="356"/>
      <c r="G2" s="357"/>
    </row>
    <row r="3" spans="2:8">
      <c r="B3" s="129" t="s">
        <v>1</v>
      </c>
      <c r="C3" s="130" t="s">
        <v>2</v>
      </c>
      <c r="D3" s="130" t="s">
        <v>57</v>
      </c>
      <c r="E3" s="130" t="s">
        <v>58</v>
      </c>
      <c r="F3" s="130" t="s">
        <v>59</v>
      </c>
      <c r="G3" s="131" t="s">
        <v>60</v>
      </c>
    </row>
    <row r="4" spans="2:8">
      <c r="B4" s="116">
        <v>1</v>
      </c>
      <c r="C4" s="127">
        <v>10.629799999999999</v>
      </c>
      <c r="D4" s="127">
        <v>51.956000000000003</v>
      </c>
      <c r="E4" s="122">
        <f t="shared" ref="E4:E13" si="0">C4+D4</f>
        <v>62.585800000000006</v>
      </c>
      <c r="F4" s="127">
        <v>62.506</v>
      </c>
      <c r="G4" s="139">
        <f t="shared" ref="G4:G13" si="1">IFERROR(((E4-F4)/C4)*100,"")</f>
        <v>0.75071967487634639</v>
      </c>
      <c r="H4" t="s">
        <v>201</v>
      </c>
    </row>
    <row r="5" spans="2:8">
      <c r="B5" s="168">
        <v>2</v>
      </c>
      <c r="C5" s="127">
        <v>10.0876</v>
      </c>
      <c r="D5" s="127">
        <v>35.110999999999997</v>
      </c>
      <c r="E5" s="122">
        <f t="shared" si="0"/>
        <v>45.198599999999999</v>
      </c>
      <c r="F5" s="127">
        <v>45.13</v>
      </c>
      <c r="G5" s="139">
        <f t="shared" si="1"/>
        <v>0.68004282485424117</v>
      </c>
      <c r="H5" t="s">
        <v>202</v>
      </c>
    </row>
    <row r="6" spans="2:8">
      <c r="B6" s="116">
        <v>3</v>
      </c>
      <c r="C6" s="127">
        <v>10.1341</v>
      </c>
      <c r="D6" s="127">
        <v>44.3523</v>
      </c>
      <c r="E6" s="122">
        <f t="shared" si="0"/>
        <v>54.486400000000003</v>
      </c>
      <c r="F6" s="127">
        <v>54.398899999999998</v>
      </c>
      <c r="G6" s="139">
        <f t="shared" si="1"/>
        <v>0.86342151745103846</v>
      </c>
      <c r="H6" t="s">
        <v>203</v>
      </c>
    </row>
    <row r="7" spans="2:8">
      <c r="B7" s="168">
        <v>4</v>
      </c>
      <c r="C7" s="127">
        <v>10.312099999999999</v>
      </c>
      <c r="D7" s="127">
        <v>50.143700000000003</v>
      </c>
      <c r="E7" s="122">
        <f t="shared" si="0"/>
        <v>60.455800000000004</v>
      </c>
      <c r="F7" s="127">
        <v>60.391399999999997</v>
      </c>
      <c r="G7" s="139">
        <f t="shared" si="1"/>
        <v>0.62450907186709048</v>
      </c>
      <c r="H7" t="s">
        <v>204</v>
      </c>
    </row>
    <row r="8" spans="2:8">
      <c r="B8" s="116">
        <v>5</v>
      </c>
      <c r="C8" s="127">
        <v>10.148999999999999</v>
      </c>
      <c r="D8" s="127">
        <v>35.741999999999997</v>
      </c>
      <c r="E8" s="122">
        <f t="shared" si="0"/>
        <v>45.890999999999998</v>
      </c>
      <c r="F8" s="127">
        <v>45.8065</v>
      </c>
      <c r="G8" s="139">
        <f t="shared" si="1"/>
        <v>0.83259434427035639</v>
      </c>
      <c r="H8" t="s">
        <v>205</v>
      </c>
    </row>
    <row r="9" spans="2:8">
      <c r="B9" s="168">
        <v>6</v>
      </c>
      <c r="C9" s="127">
        <v>10.2445</v>
      </c>
      <c r="D9" s="127">
        <v>34.290900000000001</v>
      </c>
      <c r="E9" s="122">
        <f t="shared" si="0"/>
        <v>44.535400000000003</v>
      </c>
      <c r="F9" s="127">
        <v>44.4589</v>
      </c>
      <c r="G9" s="139">
        <f t="shared" si="1"/>
        <v>0.74674215432674018</v>
      </c>
      <c r="H9" t="s">
        <v>196</v>
      </c>
    </row>
    <row r="10" spans="2:8">
      <c r="B10" s="116">
        <v>7</v>
      </c>
      <c r="C10" s="127">
        <v>10.195600000000001</v>
      </c>
      <c r="D10" s="127">
        <v>47.049900000000001</v>
      </c>
      <c r="E10" s="122">
        <f t="shared" si="0"/>
        <v>57.2455</v>
      </c>
      <c r="F10" s="127">
        <v>57.184600000000003</v>
      </c>
      <c r="G10" s="139">
        <f t="shared" si="1"/>
        <v>0.59731648946601101</v>
      </c>
      <c r="H10" t="s">
        <v>197</v>
      </c>
    </row>
    <row r="11" spans="2:8">
      <c r="B11" s="168">
        <v>8</v>
      </c>
      <c r="C11" s="127">
        <v>10.450799999999999</v>
      </c>
      <c r="D11" s="127">
        <v>34.411000000000001</v>
      </c>
      <c r="E11" s="122">
        <f t="shared" si="0"/>
        <v>44.861800000000002</v>
      </c>
      <c r="F11" s="127">
        <v>44.791499999999999</v>
      </c>
      <c r="G11" s="139">
        <f t="shared" si="1"/>
        <v>0.6726757760171771</v>
      </c>
      <c r="H11" t="s">
        <v>198</v>
      </c>
    </row>
    <row r="12" spans="2:8">
      <c r="B12" s="116">
        <v>9</v>
      </c>
      <c r="C12" s="127">
        <v>10.343500000000001</v>
      </c>
      <c r="D12" s="127">
        <v>48.291600000000003</v>
      </c>
      <c r="E12" s="122">
        <f t="shared" si="0"/>
        <v>58.635100000000001</v>
      </c>
      <c r="F12" s="127">
        <v>58.577199999999998</v>
      </c>
      <c r="G12" s="139">
        <f t="shared" si="1"/>
        <v>0.5597718373858328</v>
      </c>
      <c r="H12" t="s">
        <v>199</v>
      </c>
    </row>
    <row r="13" spans="2:8">
      <c r="B13" s="168">
        <v>10</v>
      </c>
      <c r="C13" s="127">
        <v>10.2117</v>
      </c>
      <c r="D13" s="127">
        <v>45.229399999999998</v>
      </c>
      <c r="E13" s="122">
        <f t="shared" si="0"/>
        <v>55.441099999999999</v>
      </c>
      <c r="F13" s="127">
        <v>55.353900000000003</v>
      </c>
      <c r="G13" s="139">
        <f t="shared" si="1"/>
        <v>0.85392246149020945</v>
      </c>
      <c r="H13" t="s">
        <v>200</v>
      </c>
    </row>
    <row r="14" spans="2:8">
      <c r="B14" s="116">
        <v>11</v>
      </c>
      <c r="C14" s="127">
        <v>10.2331</v>
      </c>
      <c r="D14" s="127">
        <v>48.843400000000003</v>
      </c>
      <c r="E14" s="122">
        <f>C14+D14</f>
        <v>59.076500000000003</v>
      </c>
      <c r="F14" s="127">
        <v>58.934399999999997</v>
      </c>
      <c r="G14" s="118">
        <f>IFERROR(((E14-F14)/C14)*100,"")</f>
        <v>1.3886310111306088</v>
      </c>
    </row>
    <row r="15" spans="2:8">
      <c r="B15" s="168">
        <v>12</v>
      </c>
      <c r="C15" s="150">
        <v>10.0016</v>
      </c>
      <c r="D15" s="150">
        <v>29.437899999999999</v>
      </c>
      <c r="E15" s="151">
        <f>C15+D15</f>
        <v>39.439499999999995</v>
      </c>
      <c r="F15" s="150">
        <v>39.420099999999998</v>
      </c>
      <c r="G15" s="149">
        <f>IFERROR(((E15-F15)/C15)*100,"")</f>
        <v>0.19396896496557972</v>
      </c>
    </row>
    <row r="16" spans="2:8">
      <c r="B16" s="116">
        <v>13</v>
      </c>
      <c r="C16" s="127">
        <v>10.1035</v>
      </c>
      <c r="D16" s="127">
        <v>37.981000000000002</v>
      </c>
      <c r="E16" s="122">
        <f>C16+D16</f>
        <v>48.084500000000006</v>
      </c>
      <c r="F16" s="127">
        <v>48.042499999999997</v>
      </c>
      <c r="G16" s="139">
        <f>IFERROR(((E16-F16)/C16)*100,"")</f>
        <v>0.41569753055880332</v>
      </c>
    </row>
    <row r="17" spans="2:10">
      <c r="B17" s="168">
        <v>14</v>
      </c>
      <c r="C17" s="150">
        <v>10.4818</v>
      </c>
      <c r="D17" s="150">
        <v>48.845799999999997</v>
      </c>
      <c r="E17" s="151">
        <f>C17+D17</f>
        <v>59.327599999999997</v>
      </c>
      <c r="F17" s="150">
        <v>59.2547</v>
      </c>
      <c r="G17" s="257">
        <f>IFERROR(((E17-F17)/C17)*100,"")</f>
        <v>0.69549123242188438</v>
      </c>
    </row>
    <row r="18" spans="2:10" ht="15" thickBot="1">
      <c r="B18" s="119">
        <v>15</v>
      </c>
      <c r="C18" s="128"/>
      <c r="D18" s="128"/>
      <c r="E18" s="125">
        <f>C18+D18</f>
        <v>0</v>
      </c>
      <c r="F18" s="128"/>
      <c r="G18" s="121" t="str">
        <f>IFERROR(((E18-F18)/C18)*100,"")</f>
        <v/>
      </c>
    </row>
    <row r="20" spans="2:10" ht="15" thickBot="1"/>
    <row r="21" spans="2:10">
      <c r="B21" s="394" t="s">
        <v>61</v>
      </c>
      <c r="C21" s="395"/>
      <c r="D21" s="395"/>
      <c r="E21" s="396"/>
      <c r="G21" s="351" t="s">
        <v>62</v>
      </c>
      <c r="H21" s="352"/>
      <c r="I21" s="352"/>
      <c r="J21" s="353"/>
    </row>
    <row r="22" spans="2:10">
      <c r="B22" s="129" t="s">
        <v>1</v>
      </c>
      <c r="C22" s="130" t="s">
        <v>63</v>
      </c>
      <c r="D22" s="130" t="s">
        <v>64</v>
      </c>
      <c r="E22" s="131" t="s">
        <v>65</v>
      </c>
      <c r="G22" s="129" t="s">
        <v>1</v>
      </c>
      <c r="H22" s="130" t="s">
        <v>63</v>
      </c>
      <c r="I22" s="130" t="s">
        <v>64</v>
      </c>
      <c r="J22" s="131" t="s">
        <v>65</v>
      </c>
    </row>
    <row r="23" spans="2:10">
      <c r="B23" s="116">
        <v>1</v>
      </c>
      <c r="C23" s="127">
        <v>82.112300000000005</v>
      </c>
      <c r="D23" s="127">
        <v>100.2358</v>
      </c>
      <c r="E23" s="118">
        <f>IFERROR((C23/D23)*100,"")</f>
        <v>81.919134680423568</v>
      </c>
      <c r="G23" s="116">
        <v>1</v>
      </c>
      <c r="H23" s="127">
        <v>98.65</v>
      </c>
      <c r="I23" s="65">
        <v>100.00539999999999</v>
      </c>
      <c r="J23" s="118">
        <f>IFERROR((H23/I23)/100,"")</f>
        <v>9.8644673187647872E-3</v>
      </c>
    </row>
    <row r="24" spans="2:10">
      <c r="B24" s="168">
        <v>2</v>
      </c>
      <c r="C24" s="150"/>
      <c r="D24" s="150"/>
      <c r="E24" s="149" t="str">
        <f>IFERROR((C24/D24)*100,"")</f>
        <v/>
      </c>
      <c r="G24" s="168">
        <v>2</v>
      </c>
      <c r="H24" s="150"/>
      <c r="I24" s="150"/>
      <c r="J24" s="149" t="str">
        <f>IFERROR((H24/I24)*100,"")</f>
        <v/>
      </c>
    </row>
    <row r="25" spans="2:10">
      <c r="B25" s="116">
        <v>3</v>
      </c>
      <c r="C25" s="127"/>
      <c r="D25" s="127"/>
      <c r="E25" s="118" t="str">
        <f>IFERROR((C25/D25)*100,"")</f>
        <v/>
      </c>
      <c r="G25" s="116">
        <v>3</v>
      </c>
      <c r="H25" s="127"/>
      <c r="I25" s="65"/>
      <c r="J25" s="118" t="str">
        <f>IFERROR((H25/I25)*100,"")</f>
        <v/>
      </c>
    </row>
    <row r="26" spans="2:10">
      <c r="B26" s="168">
        <v>4</v>
      </c>
      <c r="C26" s="150"/>
      <c r="D26" s="150"/>
      <c r="E26" s="149" t="str">
        <f>IFERROR((C26/D26)*100,"")</f>
        <v/>
      </c>
      <c r="G26" s="168">
        <v>4</v>
      </c>
      <c r="H26" s="150"/>
      <c r="I26" s="182"/>
      <c r="J26" s="149" t="str">
        <f>IFERROR((H26/I26)*100,"")</f>
        <v/>
      </c>
    </row>
    <row r="27" spans="2:10" ht="15" thickBot="1">
      <c r="B27" s="119">
        <v>5</v>
      </c>
      <c r="C27" s="128"/>
      <c r="D27" s="128"/>
      <c r="E27" s="121" t="str">
        <f>IFERROR((C27/D27)*100,"")</f>
        <v/>
      </c>
      <c r="G27" s="119">
        <v>5</v>
      </c>
      <c r="H27" s="128"/>
      <c r="I27" s="67"/>
      <c r="J27" s="121" t="str">
        <f>IFERROR((H27/I27)*100,"")</f>
        <v/>
      </c>
    </row>
    <row r="29" spans="2:10" ht="15" thickBot="1"/>
    <row r="30" spans="2:10">
      <c r="B30" s="392" t="s">
        <v>189</v>
      </c>
      <c r="C30" s="393"/>
    </row>
    <row r="31" spans="2:10">
      <c r="B31" s="129" t="s">
        <v>1</v>
      </c>
      <c r="C31" s="131" t="s">
        <v>190</v>
      </c>
    </row>
    <row r="32" spans="2:10">
      <c r="B32" s="116">
        <v>1</v>
      </c>
      <c r="C32" s="112">
        <v>3.25</v>
      </c>
    </row>
    <row r="33" spans="2:3">
      <c r="B33" s="116">
        <v>2</v>
      </c>
      <c r="C33" s="112">
        <v>2.96</v>
      </c>
    </row>
    <row r="34" spans="2:3">
      <c r="B34" s="116">
        <v>3</v>
      </c>
      <c r="C34" s="112">
        <v>3.44</v>
      </c>
    </row>
    <row r="35" spans="2:3">
      <c r="B35" s="116">
        <v>4</v>
      </c>
      <c r="C35" s="112">
        <v>2.87</v>
      </c>
    </row>
    <row r="36" spans="2:3">
      <c r="B36" s="116">
        <v>5</v>
      </c>
      <c r="C36" s="112">
        <v>3.34</v>
      </c>
    </row>
    <row r="37" spans="2:3">
      <c r="B37" s="116">
        <v>6</v>
      </c>
      <c r="C37" s="112">
        <v>3.22</v>
      </c>
    </row>
    <row r="38" spans="2:3">
      <c r="B38" s="116">
        <v>7</v>
      </c>
      <c r="C38" s="112">
        <v>2.74</v>
      </c>
    </row>
    <row r="39" spans="2:3">
      <c r="B39" s="116">
        <v>8</v>
      </c>
      <c r="C39" s="112">
        <v>3.01</v>
      </c>
    </row>
    <row r="40" spans="2:3">
      <c r="B40" s="116">
        <v>9</v>
      </c>
      <c r="C40" s="112"/>
    </row>
    <row r="41" spans="2:3">
      <c r="B41" s="116">
        <v>10</v>
      </c>
      <c r="C41" s="112"/>
    </row>
    <row r="42" spans="2:3" ht="15" thickBot="1">
      <c r="B42" s="119" t="s">
        <v>191</v>
      </c>
      <c r="C42" s="140">
        <f>IFERROR(AVERAGE(C32:C41),"")</f>
        <v>3.1037499999999998</v>
      </c>
    </row>
  </sheetData>
  <mergeCells count="4">
    <mergeCell ref="B30:C30"/>
    <mergeCell ref="B2:G2"/>
    <mergeCell ref="B21:E21"/>
    <mergeCell ref="G21:J21"/>
  </mergeCells>
  <pageMargins left="0.511811024" right="0.511811024" top="0.78740157499999996" bottom="0.78740157499999996" header="0.31496062000000002" footer="0.31496062000000002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CopiarEColar">
                <anchor>
                  <from>
                    <xdr:col>2</xdr:col>
                    <xdr:colOff>736600</xdr:colOff>
                    <xdr:row>0</xdr:row>
                    <xdr:rowOff>107950</xdr:rowOff>
                  </from>
                  <to>
                    <xdr:col>4</xdr:col>
                    <xdr:colOff>679450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71565-846D-4F65-84E7-0B8B2B2447B0}">
  <sheetPr codeName="Planilha11"/>
  <dimension ref="D2:N21"/>
  <sheetViews>
    <sheetView showGridLines="0" workbookViewId="0"/>
  </sheetViews>
  <sheetFormatPr defaultRowHeight="14.5"/>
  <cols>
    <col min="4" max="4" width="11" style="115" customWidth="1"/>
    <col min="5" max="5" width="12.26953125" style="115" bestFit="1" customWidth="1"/>
    <col min="6" max="7" width="14.453125" style="115" bestFit="1" customWidth="1"/>
    <col min="8" max="8" width="0.7265625" customWidth="1"/>
    <col min="9" max="9" width="9.1796875" style="115"/>
  </cols>
  <sheetData>
    <row r="2" spans="4:14" ht="15" thickBot="1"/>
    <row r="3" spans="4:14">
      <c r="D3" s="351" t="s">
        <v>66</v>
      </c>
      <c r="E3" s="352"/>
      <c r="F3" s="352"/>
      <c r="G3" s="353"/>
    </row>
    <row r="4" spans="4:14" ht="15" thickBot="1">
      <c r="D4" s="129" t="s">
        <v>67</v>
      </c>
      <c r="E4" s="130" t="s">
        <v>68</v>
      </c>
      <c r="F4" s="130" t="s">
        <v>28</v>
      </c>
      <c r="G4" s="131" t="s">
        <v>188</v>
      </c>
    </row>
    <row r="5" spans="4:14">
      <c r="D5" s="111">
        <v>0.50380000000000003</v>
      </c>
      <c r="E5" s="65">
        <v>204.22</v>
      </c>
      <c r="F5" s="65">
        <v>9.92</v>
      </c>
      <c r="G5" s="171">
        <f>IFERROR((D5*1000)/(E5*F5),"")</f>
        <v>0.24868421468309004</v>
      </c>
      <c r="I5" s="170" t="s">
        <v>69</v>
      </c>
    </row>
    <row r="6" spans="4:14" ht="15" thickBot="1">
      <c r="D6" s="111">
        <v>0.50070000000000003</v>
      </c>
      <c r="E6" s="65">
        <v>204.22</v>
      </c>
      <c r="F6" s="65">
        <v>9.9</v>
      </c>
      <c r="G6" s="171">
        <f>IFERROR((D6*1000)/(E6*F6),"")</f>
        <v>0.24765330318165499</v>
      </c>
      <c r="I6" s="172">
        <f>AVERAGE((G5:G7))</f>
        <v>0.24799315859073778</v>
      </c>
      <c r="N6" s="179"/>
    </row>
    <row r="7" spans="4:14">
      <c r="D7" s="111">
        <v>0.50270000000000004</v>
      </c>
      <c r="E7" s="65">
        <v>204.22</v>
      </c>
      <c r="F7" s="65">
        <v>9.94</v>
      </c>
      <c r="G7" s="171">
        <f>IFERROR((D7*1000)/(E7*F7),"")</f>
        <v>0.24764195790746835</v>
      </c>
    </row>
    <row r="9" spans="4:14" ht="15" thickBot="1"/>
    <row r="10" spans="4:14">
      <c r="E10" s="355" t="s">
        <v>70</v>
      </c>
      <c r="F10" s="356"/>
      <c r="G10" s="357"/>
    </row>
    <row r="11" spans="4:14" ht="15" thickBot="1">
      <c r="E11" s="129" t="s">
        <v>28</v>
      </c>
      <c r="F11" s="130" t="s">
        <v>71</v>
      </c>
      <c r="G11" s="131" t="s">
        <v>188</v>
      </c>
    </row>
    <row r="12" spans="4:14">
      <c r="E12" s="111">
        <v>10.26</v>
      </c>
      <c r="F12" s="65">
        <v>0.248</v>
      </c>
      <c r="G12" s="171">
        <f>(E12*F12)/(2*50)</f>
        <v>2.54448E-2</v>
      </c>
      <c r="I12" s="170" t="s">
        <v>69</v>
      </c>
    </row>
    <row r="13" spans="4:14" ht="15" thickBot="1">
      <c r="E13" s="111">
        <v>10.25</v>
      </c>
      <c r="F13" s="65">
        <v>0.248</v>
      </c>
      <c r="G13" s="171">
        <f>(E13*F13)/(2*50)</f>
        <v>2.5419999999999998E-2</v>
      </c>
      <c r="I13" s="172">
        <f>AVERAGE((G12:G14))</f>
        <v>2.5428266666666668E-2</v>
      </c>
    </row>
    <row r="14" spans="4:14">
      <c r="E14" s="111">
        <v>10.25</v>
      </c>
      <c r="F14" s="65">
        <v>0.248</v>
      </c>
      <c r="G14" s="171">
        <f>(E14*F14)/(2*50)</f>
        <v>2.5419999999999998E-2</v>
      </c>
    </row>
    <row r="16" spans="4:14" ht="15" thickBot="1"/>
    <row r="17" spans="4:9">
      <c r="D17" s="351" t="s">
        <v>182</v>
      </c>
      <c r="E17" s="352"/>
      <c r="F17" s="352"/>
      <c r="G17" s="353"/>
    </row>
    <row r="18" spans="4:9" ht="15" thickBot="1">
      <c r="D18" s="129" t="s">
        <v>68</v>
      </c>
      <c r="E18" s="130" t="s">
        <v>28</v>
      </c>
      <c r="F18" s="130" t="s">
        <v>183</v>
      </c>
      <c r="G18" s="131" t="s">
        <v>29</v>
      </c>
    </row>
    <row r="19" spans="4:9">
      <c r="D19" s="111">
        <v>4.3689999999999998</v>
      </c>
      <c r="E19" s="65">
        <v>18.05</v>
      </c>
      <c r="F19" s="65">
        <v>0</v>
      </c>
      <c r="G19" s="171">
        <f>IF(E19="","",D19/(E19-F19))</f>
        <v>0.24204986149584484</v>
      </c>
      <c r="I19" s="170" t="s">
        <v>69</v>
      </c>
    </row>
    <row r="20" spans="4:9" ht="15" thickBot="1">
      <c r="D20" s="111">
        <v>4.3689999999999998</v>
      </c>
      <c r="E20" s="65">
        <v>18.04</v>
      </c>
      <c r="F20" s="65">
        <v>0</v>
      </c>
      <c r="G20" s="171">
        <f>IF(E20="","",D20/(E20-F20))</f>
        <v>0.24218403547671841</v>
      </c>
      <c r="I20" s="172">
        <f>AVERAGE((G19:G21))</f>
        <v>0.2420499110248153</v>
      </c>
    </row>
    <row r="21" spans="4:9" ht="15" thickBot="1">
      <c r="D21" s="113">
        <v>4.3689999999999998</v>
      </c>
      <c r="E21" s="67">
        <v>18.059999999999999</v>
      </c>
      <c r="F21" s="67">
        <v>0</v>
      </c>
      <c r="G21" s="177">
        <f>IF(E21="","",D21/(E21-F21))</f>
        <v>0.24191583610188261</v>
      </c>
    </row>
  </sheetData>
  <mergeCells count="3">
    <mergeCell ref="D3:G3"/>
    <mergeCell ref="E10:G10"/>
    <mergeCell ref="D17:G17"/>
  </mergeCells>
  <pageMargins left="0.511811024" right="0.511811024" top="0.78740157499999996" bottom="0.78740157499999996" header="0.31496062000000002" footer="0.31496062000000002"/>
  <pageSetup paperSize="9" orientation="portrait" horizontalDpi="203" verticalDpi="20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FE9-3AE1-4718-AD72-9C18FCBD9AB8}">
  <sheetPr codeName="Planilha13"/>
  <dimension ref="A1:AR53"/>
  <sheetViews>
    <sheetView showGridLines="0" zoomScale="85" zoomScaleNormal="85" workbookViewId="0">
      <selection sqref="A1:K2"/>
    </sheetView>
  </sheetViews>
  <sheetFormatPr defaultRowHeight="12.5"/>
  <cols>
    <col min="1" max="1" width="9.1796875" style="194"/>
    <col min="2" max="2" width="17.26953125" style="194" customWidth="1"/>
    <col min="3" max="3" width="14.7265625" style="194" customWidth="1"/>
    <col min="4" max="4" width="19.81640625" style="194" bestFit="1" customWidth="1"/>
    <col min="5" max="5" width="19.54296875" style="194" customWidth="1"/>
    <col min="6" max="6" width="10.54296875" style="194" customWidth="1"/>
    <col min="7" max="7" width="9.1796875" style="194"/>
    <col min="8" max="8" width="11.1796875" style="194" customWidth="1"/>
    <col min="9" max="9" width="6.1796875" style="194" customWidth="1"/>
    <col min="10" max="10" width="19" style="194" bestFit="1" customWidth="1"/>
    <col min="11" max="11" width="12.54296875" style="194" customWidth="1"/>
    <col min="12" max="13" width="17.81640625" style="194" bestFit="1" customWidth="1"/>
    <col min="14" max="14" width="19.453125" style="194" bestFit="1" customWidth="1"/>
    <col min="15" max="15" width="16.7265625" style="194" customWidth="1"/>
    <col min="16" max="16" width="15.54296875" style="194" customWidth="1"/>
    <col min="17" max="258" width="9.1796875" style="194"/>
    <col min="259" max="259" width="14.7265625" style="194" customWidth="1"/>
    <col min="260" max="260" width="13.81640625" style="194" customWidth="1"/>
    <col min="261" max="261" width="19.54296875" style="194" customWidth="1"/>
    <col min="262" max="262" width="10.54296875" style="194" customWidth="1"/>
    <col min="263" max="263" width="9.1796875" style="194"/>
    <col min="264" max="264" width="11.1796875" style="194" customWidth="1"/>
    <col min="265" max="266" width="19" style="194" bestFit="1" customWidth="1"/>
    <col min="267" max="269" width="9.1796875" style="194"/>
    <col min="270" max="270" width="19.453125" style="194" bestFit="1" customWidth="1"/>
    <col min="271" max="271" width="15.26953125" style="194" customWidth="1"/>
    <col min="272" max="514" width="9.1796875" style="194"/>
    <col min="515" max="515" width="14.7265625" style="194" customWidth="1"/>
    <col min="516" max="516" width="13.81640625" style="194" customWidth="1"/>
    <col min="517" max="517" width="19.54296875" style="194" customWidth="1"/>
    <col min="518" max="518" width="10.54296875" style="194" customWidth="1"/>
    <col min="519" max="519" width="9.1796875" style="194"/>
    <col min="520" max="520" width="11.1796875" style="194" customWidth="1"/>
    <col min="521" max="522" width="19" style="194" bestFit="1" customWidth="1"/>
    <col min="523" max="525" width="9.1796875" style="194"/>
    <col min="526" max="526" width="19.453125" style="194" bestFit="1" customWidth="1"/>
    <col min="527" max="527" width="15.26953125" style="194" customWidth="1"/>
    <col min="528" max="770" width="9.1796875" style="194"/>
    <col min="771" max="771" width="14.7265625" style="194" customWidth="1"/>
    <col min="772" max="772" width="13.81640625" style="194" customWidth="1"/>
    <col min="773" max="773" width="19.54296875" style="194" customWidth="1"/>
    <col min="774" max="774" width="10.54296875" style="194" customWidth="1"/>
    <col min="775" max="775" width="9.1796875" style="194"/>
    <col min="776" max="776" width="11.1796875" style="194" customWidth="1"/>
    <col min="777" max="778" width="19" style="194" bestFit="1" customWidth="1"/>
    <col min="779" max="781" width="9.1796875" style="194"/>
    <col min="782" max="782" width="19.453125" style="194" bestFit="1" customWidth="1"/>
    <col min="783" max="783" width="15.26953125" style="194" customWidth="1"/>
    <col min="784" max="1026" width="9.1796875" style="194"/>
    <col min="1027" max="1027" width="14.7265625" style="194" customWidth="1"/>
    <col min="1028" max="1028" width="13.81640625" style="194" customWidth="1"/>
    <col min="1029" max="1029" width="19.54296875" style="194" customWidth="1"/>
    <col min="1030" max="1030" width="10.54296875" style="194" customWidth="1"/>
    <col min="1031" max="1031" width="9.1796875" style="194"/>
    <col min="1032" max="1032" width="11.1796875" style="194" customWidth="1"/>
    <col min="1033" max="1034" width="19" style="194" bestFit="1" customWidth="1"/>
    <col min="1035" max="1037" width="9.1796875" style="194"/>
    <col min="1038" max="1038" width="19.453125" style="194" bestFit="1" customWidth="1"/>
    <col min="1039" max="1039" width="15.26953125" style="194" customWidth="1"/>
    <col min="1040" max="1282" width="9.1796875" style="194"/>
    <col min="1283" max="1283" width="14.7265625" style="194" customWidth="1"/>
    <col min="1284" max="1284" width="13.81640625" style="194" customWidth="1"/>
    <col min="1285" max="1285" width="19.54296875" style="194" customWidth="1"/>
    <col min="1286" max="1286" width="10.54296875" style="194" customWidth="1"/>
    <col min="1287" max="1287" width="9.1796875" style="194"/>
    <col min="1288" max="1288" width="11.1796875" style="194" customWidth="1"/>
    <col min="1289" max="1290" width="19" style="194" bestFit="1" customWidth="1"/>
    <col min="1291" max="1293" width="9.1796875" style="194"/>
    <col min="1294" max="1294" width="19.453125" style="194" bestFit="1" customWidth="1"/>
    <col min="1295" max="1295" width="15.26953125" style="194" customWidth="1"/>
    <col min="1296" max="1538" width="9.1796875" style="194"/>
    <col min="1539" max="1539" width="14.7265625" style="194" customWidth="1"/>
    <col min="1540" max="1540" width="13.81640625" style="194" customWidth="1"/>
    <col min="1541" max="1541" width="19.54296875" style="194" customWidth="1"/>
    <col min="1542" max="1542" width="10.54296875" style="194" customWidth="1"/>
    <col min="1543" max="1543" width="9.1796875" style="194"/>
    <col min="1544" max="1544" width="11.1796875" style="194" customWidth="1"/>
    <col min="1545" max="1546" width="19" style="194" bestFit="1" customWidth="1"/>
    <col min="1547" max="1549" width="9.1796875" style="194"/>
    <col min="1550" max="1550" width="19.453125" style="194" bestFit="1" customWidth="1"/>
    <col min="1551" max="1551" width="15.26953125" style="194" customWidth="1"/>
    <col min="1552" max="1794" width="9.1796875" style="194"/>
    <col min="1795" max="1795" width="14.7265625" style="194" customWidth="1"/>
    <col min="1796" max="1796" width="13.81640625" style="194" customWidth="1"/>
    <col min="1797" max="1797" width="19.54296875" style="194" customWidth="1"/>
    <col min="1798" max="1798" width="10.54296875" style="194" customWidth="1"/>
    <col min="1799" max="1799" width="9.1796875" style="194"/>
    <col min="1800" max="1800" width="11.1796875" style="194" customWidth="1"/>
    <col min="1801" max="1802" width="19" style="194" bestFit="1" customWidth="1"/>
    <col min="1803" max="1805" width="9.1796875" style="194"/>
    <col min="1806" max="1806" width="19.453125" style="194" bestFit="1" customWidth="1"/>
    <col min="1807" max="1807" width="15.26953125" style="194" customWidth="1"/>
    <col min="1808" max="2050" width="9.1796875" style="194"/>
    <col min="2051" max="2051" width="14.7265625" style="194" customWidth="1"/>
    <col min="2052" max="2052" width="13.81640625" style="194" customWidth="1"/>
    <col min="2053" max="2053" width="19.54296875" style="194" customWidth="1"/>
    <col min="2054" max="2054" width="10.54296875" style="194" customWidth="1"/>
    <col min="2055" max="2055" width="9.1796875" style="194"/>
    <col min="2056" max="2056" width="11.1796875" style="194" customWidth="1"/>
    <col min="2057" max="2058" width="19" style="194" bestFit="1" customWidth="1"/>
    <col min="2059" max="2061" width="9.1796875" style="194"/>
    <col min="2062" max="2062" width="19.453125" style="194" bestFit="1" customWidth="1"/>
    <col min="2063" max="2063" width="15.26953125" style="194" customWidth="1"/>
    <col min="2064" max="2306" width="9.1796875" style="194"/>
    <col min="2307" max="2307" width="14.7265625" style="194" customWidth="1"/>
    <col min="2308" max="2308" width="13.81640625" style="194" customWidth="1"/>
    <col min="2309" max="2309" width="19.54296875" style="194" customWidth="1"/>
    <col min="2310" max="2310" width="10.54296875" style="194" customWidth="1"/>
    <col min="2311" max="2311" width="9.1796875" style="194"/>
    <col min="2312" max="2312" width="11.1796875" style="194" customWidth="1"/>
    <col min="2313" max="2314" width="19" style="194" bestFit="1" customWidth="1"/>
    <col min="2315" max="2317" width="9.1796875" style="194"/>
    <col min="2318" max="2318" width="19.453125" style="194" bestFit="1" customWidth="1"/>
    <col min="2319" max="2319" width="15.26953125" style="194" customWidth="1"/>
    <col min="2320" max="2562" width="9.1796875" style="194"/>
    <col min="2563" max="2563" width="14.7265625" style="194" customWidth="1"/>
    <col min="2564" max="2564" width="13.81640625" style="194" customWidth="1"/>
    <col min="2565" max="2565" width="19.54296875" style="194" customWidth="1"/>
    <col min="2566" max="2566" width="10.54296875" style="194" customWidth="1"/>
    <col min="2567" max="2567" width="9.1796875" style="194"/>
    <col min="2568" max="2568" width="11.1796875" style="194" customWidth="1"/>
    <col min="2569" max="2570" width="19" style="194" bestFit="1" customWidth="1"/>
    <col min="2571" max="2573" width="9.1796875" style="194"/>
    <col min="2574" max="2574" width="19.453125" style="194" bestFit="1" customWidth="1"/>
    <col min="2575" max="2575" width="15.26953125" style="194" customWidth="1"/>
    <col min="2576" max="2818" width="9.1796875" style="194"/>
    <col min="2819" max="2819" width="14.7265625" style="194" customWidth="1"/>
    <col min="2820" max="2820" width="13.81640625" style="194" customWidth="1"/>
    <col min="2821" max="2821" width="19.54296875" style="194" customWidth="1"/>
    <col min="2822" max="2822" width="10.54296875" style="194" customWidth="1"/>
    <col min="2823" max="2823" width="9.1796875" style="194"/>
    <col min="2824" max="2824" width="11.1796875" style="194" customWidth="1"/>
    <col min="2825" max="2826" width="19" style="194" bestFit="1" customWidth="1"/>
    <col min="2827" max="2829" width="9.1796875" style="194"/>
    <col min="2830" max="2830" width="19.453125" style="194" bestFit="1" customWidth="1"/>
    <col min="2831" max="2831" width="15.26953125" style="194" customWidth="1"/>
    <col min="2832" max="3074" width="9.1796875" style="194"/>
    <col min="3075" max="3075" width="14.7265625" style="194" customWidth="1"/>
    <col min="3076" max="3076" width="13.81640625" style="194" customWidth="1"/>
    <col min="3077" max="3077" width="19.54296875" style="194" customWidth="1"/>
    <col min="3078" max="3078" width="10.54296875" style="194" customWidth="1"/>
    <col min="3079" max="3079" width="9.1796875" style="194"/>
    <col min="3080" max="3080" width="11.1796875" style="194" customWidth="1"/>
    <col min="3081" max="3082" width="19" style="194" bestFit="1" customWidth="1"/>
    <col min="3083" max="3085" width="9.1796875" style="194"/>
    <col min="3086" max="3086" width="19.453125" style="194" bestFit="1" customWidth="1"/>
    <col min="3087" max="3087" width="15.26953125" style="194" customWidth="1"/>
    <col min="3088" max="3330" width="9.1796875" style="194"/>
    <col min="3331" max="3331" width="14.7265625" style="194" customWidth="1"/>
    <col min="3332" max="3332" width="13.81640625" style="194" customWidth="1"/>
    <col min="3333" max="3333" width="19.54296875" style="194" customWidth="1"/>
    <col min="3334" max="3334" width="10.54296875" style="194" customWidth="1"/>
    <col min="3335" max="3335" width="9.1796875" style="194"/>
    <col min="3336" max="3336" width="11.1796875" style="194" customWidth="1"/>
    <col min="3337" max="3338" width="19" style="194" bestFit="1" customWidth="1"/>
    <col min="3339" max="3341" width="9.1796875" style="194"/>
    <col min="3342" max="3342" width="19.453125" style="194" bestFit="1" customWidth="1"/>
    <col min="3343" max="3343" width="15.26953125" style="194" customWidth="1"/>
    <col min="3344" max="3586" width="9.1796875" style="194"/>
    <col min="3587" max="3587" width="14.7265625" style="194" customWidth="1"/>
    <col min="3588" max="3588" width="13.81640625" style="194" customWidth="1"/>
    <col min="3589" max="3589" width="19.54296875" style="194" customWidth="1"/>
    <col min="3590" max="3590" width="10.54296875" style="194" customWidth="1"/>
    <col min="3591" max="3591" width="9.1796875" style="194"/>
    <col min="3592" max="3592" width="11.1796875" style="194" customWidth="1"/>
    <col min="3593" max="3594" width="19" style="194" bestFit="1" customWidth="1"/>
    <col min="3595" max="3597" width="9.1796875" style="194"/>
    <col min="3598" max="3598" width="19.453125" style="194" bestFit="1" customWidth="1"/>
    <col min="3599" max="3599" width="15.26953125" style="194" customWidth="1"/>
    <col min="3600" max="3842" width="9.1796875" style="194"/>
    <col min="3843" max="3843" width="14.7265625" style="194" customWidth="1"/>
    <col min="3844" max="3844" width="13.81640625" style="194" customWidth="1"/>
    <col min="3845" max="3845" width="19.54296875" style="194" customWidth="1"/>
    <col min="3846" max="3846" width="10.54296875" style="194" customWidth="1"/>
    <col min="3847" max="3847" width="9.1796875" style="194"/>
    <col min="3848" max="3848" width="11.1796875" style="194" customWidth="1"/>
    <col min="3849" max="3850" width="19" style="194" bestFit="1" customWidth="1"/>
    <col min="3851" max="3853" width="9.1796875" style="194"/>
    <col min="3854" max="3854" width="19.453125" style="194" bestFit="1" customWidth="1"/>
    <col min="3855" max="3855" width="15.26953125" style="194" customWidth="1"/>
    <col min="3856" max="4098" width="9.1796875" style="194"/>
    <col min="4099" max="4099" width="14.7265625" style="194" customWidth="1"/>
    <col min="4100" max="4100" width="13.81640625" style="194" customWidth="1"/>
    <col min="4101" max="4101" width="19.54296875" style="194" customWidth="1"/>
    <col min="4102" max="4102" width="10.54296875" style="194" customWidth="1"/>
    <col min="4103" max="4103" width="9.1796875" style="194"/>
    <col min="4104" max="4104" width="11.1796875" style="194" customWidth="1"/>
    <col min="4105" max="4106" width="19" style="194" bestFit="1" customWidth="1"/>
    <col min="4107" max="4109" width="9.1796875" style="194"/>
    <col min="4110" max="4110" width="19.453125" style="194" bestFit="1" customWidth="1"/>
    <col min="4111" max="4111" width="15.26953125" style="194" customWidth="1"/>
    <col min="4112" max="4354" width="9.1796875" style="194"/>
    <col min="4355" max="4355" width="14.7265625" style="194" customWidth="1"/>
    <col min="4356" max="4356" width="13.81640625" style="194" customWidth="1"/>
    <col min="4357" max="4357" width="19.54296875" style="194" customWidth="1"/>
    <col min="4358" max="4358" width="10.54296875" style="194" customWidth="1"/>
    <col min="4359" max="4359" width="9.1796875" style="194"/>
    <col min="4360" max="4360" width="11.1796875" style="194" customWidth="1"/>
    <col min="4361" max="4362" width="19" style="194" bestFit="1" customWidth="1"/>
    <col min="4363" max="4365" width="9.1796875" style="194"/>
    <col min="4366" max="4366" width="19.453125" style="194" bestFit="1" customWidth="1"/>
    <col min="4367" max="4367" width="15.26953125" style="194" customWidth="1"/>
    <col min="4368" max="4610" width="9.1796875" style="194"/>
    <col min="4611" max="4611" width="14.7265625" style="194" customWidth="1"/>
    <col min="4612" max="4612" width="13.81640625" style="194" customWidth="1"/>
    <col min="4613" max="4613" width="19.54296875" style="194" customWidth="1"/>
    <col min="4614" max="4614" width="10.54296875" style="194" customWidth="1"/>
    <col min="4615" max="4615" width="9.1796875" style="194"/>
    <col min="4616" max="4616" width="11.1796875" style="194" customWidth="1"/>
    <col min="4617" max="4618" width="19" style="194" bestFit="1" customWidth="1"/>
    <col min="4619" max="4621" width="9.1796875" style="194"/>
    <col min="4622" max="4622" width="19.453125" style="194" bestFit="1" customWidth="1"/>
    <col min="4623" max="4623" width="15.26953125" style="194" customWidth="1"/>
    <col min="4624" max="4866" width="9.1796875" style="194"/>
    <col min="4867" max="4867" width="14.7265625" style="194" customWidth="1"/>
    <col min="4868" max="4868" width="13.81640625" style="194" customWidth="1"/>
    <col min="4869" max="4869" width="19.54296875" style="194" customWidth="1"/>
    <col min="4870" max="4870" width="10.54296875" style="194" customWidth="1"/>
    <col min="4871" max="4871" width="9.1796875" style="194"/>
    <col min="4872" max="4872" width="11.1796875" style="194" customWidth="1"/>
    <col min="4873" max="4874" width="19" style="194" bestFit="1" customWidth="1"/>
    <col min="4875" max="4877" width="9.1796875" style="194"/>
    <col min="4878" max="4878" width="19.453125" style="194" bestFit="1" customWidth="1"/>
    <col min="4879" max="4879" width="15.26953125" style="194" customWidth="1"/>
    <col min="4880" max="5122" width="9.1796875" style="194"/>
    <col min="5123" max="5123" width="14.7265625" style="194" customWidth="1"/>
    <col min="5124" max="5124" width="13.81640625" style="194" customWidth="1"/>
    <col min="5125" max="5125" width="19.54296875" style="194" customWidth="1"/>
    <col min="5126" max="5126" width="10.54296875" style="194" customWidth="1"/>
    <col min="5127" max="5127" width="9.1796875" style="194"/>
    <col min="5128" max="5128" width="11.1796875" style="194" customWidth="1"/>
    <col min="5129" max="5130" width="19" style="194" bestFit="1" customWidth="1"/>
    <col min="5131" max="5133" width="9.1796875" style="194"/>
    <col min="5134" max="5134" width="19.453125" style="194" bestFit="1" customWidth="1"/>
    <col min="5135" max="5135" width="15.26953125" style="194" customWidth="1"/>
    <col min="5136" max="5378" width="9.1796875" style="194"/>
    <col min="5379" max="5379" width="14.7265625" style="194" customWidth="1"/>
    <col min="5380" max="5380" width="13.81640625" style="194" customWidth="1"/>
    <col min="5381" max="5381" width="19.54296875" style="194" customWidth="1"/>
    <col min="5382" max="5382" width="10.54296875" style="194" customWidth="1"/>
    <col min="5383" max="5383" width="9.1796875" style="194"/>
    <col min="5384" max="5384" width="11.1796875" style="194" customWidth="1"/>
    <col min="5385" max="5386" width="19" style="194" bestFit="1" customWidth="1"/>
    <col min="5387" max="5389" width="9.1796875" style="194"/>
    <col min="5390" max="5390" width="19.453125" style="194" bestFit="1" customWidth="1"/>
    <col min="5391" max="5391" width="15.26953125" style="194" customWidth="1"/>
    <col min="5392" max="5634" width="9.1796875" style="194"/>
    <col min="5635" max="5635" width="14.7265625" style="194" customWidth="1"/>
    <col min="5636" max="5636" width="13.81640625" style="194" customWidth="1"/>
    <col min="5637" max="5637" width="19.54296875" style="194" customWidth="1"/>
    <col min="5638" max="5638" width="10.54296875" style="194" customWidth="1"/>
    <col min="5639" max="5639" width="9.1796875" style="194"/>
    <col min="5640" max="5640" width="11.1796875" style="194" customWidth="1"/>
    <col min="5641" max="5642" width="19" style="194" bestFit="1" customWidth="1"/>
    <col min="5643" max="5645" width="9.1796875" style="194"/>
    <col min="5646" max="5646" width="19.453125" style="194" bestFit="1" customWidth="1"/>
    <col min="5647" max="5647" width="15.26953125" style="194" customWidth="1"/>
    <col min="5648" max="5890" width="9.1796875" style="194"/>
    <col min="5891" max="5891" width="14.7265625" style="194" customWidth="1"/>
    <col min="5892" max="5892" width="13.81640625" style="194" customWidth="1"/>
    <col min="5893" max="5893" width="19.54296875" style="194" customWidth="1"/>
    <col min="5894" max="5894" width="10.54296875" style="194" customWidth="1"/>
    <col min="5895" max="5895" width="9.1796875" style="194"/>
    <col min="5896" max="5896" width="11.1796875" style="194" customWidth="1"/>
    <col min="5897" max="5898" width="19" style="194" bestFit="1" customWidth="1"/>
    <col min="5899" max="5901" width="9.1796875" style="194"/>
    <col min="5902" max="5902" width="19.453125" style="194" bestFit="1" customWidth="1"/>
    <col min="5903" max="5903" width="15.26953125" style="194" customWidth="1"/>
    <col min="5904" max="6146" width="9.1796875" style="194"/>
    <col min="6147" max="6147" width="14.7265625" style="194" customWidth="1"/>
    <col min="6148" max="6148" width="13.81640625" style="194" customWidth="1"/>
    <col min="6149" max="6149" width="19.54296875" style="194" customWidth="1"/>
    <col min="6150" max="6150" width="10.54296875" style="194" customWidth="1"/>
    <col min="6151" max="6151" width="9.1796875" style="194"/>
    <col min="6152" max="6152" width="11.1796875" style="194" customWidth="1"/>
    <col min="6153" max="6154" width="19" style="194" bestFit="1" customWidth="1"/>
    <col min="6155" max="6157" width="9.1796875" style="194"/>
    <col min="6158" max="6158" width="19.453125" style="194" bestFit="1" customWidth="1"/>
    <col min="6159" max="6159" width="15.26953125" style="194" customWidth="1"/>
    <col min="6160" max="6402" width="9.1796875" style="194"/>
    <col min="6403" max="6403" width="14.7265625" style="194" customWidth="1"/>
    <col min="6404" max="6404" width="13.81640625" style="194" customWidth="1"/>
    <col min="6405" max="6405" width="19.54296875" style="194" customWidth="1"/>
    <col min="6406" max="6406" width="10.54296875" style="194" customWidth="1"/>
    <col min="6407" max="6407" width="9.1796875" style="194"/>
    <col min="6408" max="6408" width="11.1796875" style="194" customWidth="1"/>
    <col min="6409" max="6410" width="19" style="194" bestFit="1" customWidth="1"/>
    <col min="6411" max="6413" width="9.1796875" style="194"/>
    <col min="6414" max="6414" width="19.453125" style="194" bestFit="1" customWidth="1"/>
    <col min="6415" max="6415" width="15.26953125" style="194" customWidth="1"/>
    <col min="6416" max="6658" width="9.1796875" style="194"/>
    <col min="6659" max="6659" width="14.7265625" style="194" customWidth="1"/>
    <col min="6660" max="6660" width="13.81640625" style="194" customWidth="1"/>
    <col min="6661" max="6661" width="19.54296875" style="194" customWidth="1"/>
    <col min="6662" max="6662" width="10.54296875" style="194" customWidth="1"/>
    <col min="6663" max="6663" width="9.1796875" style="194"/>
    <col min="6664" max="6664" width="11.1796875" style="194" customWidth="1"/>
    <col min="6665" max="6666" width="19" style="194" bestFit="1" customWidth="1"/>
    <col min="6667" max="6669" width="9.1796875" style="194"/>
    <col min="6670" max="6670" width="19.453125" style="194" bestFit="1" customWidth="1"/>
    <col min="6671" max="6671" width="15.26953125" style="194" customWidth="1"/>
    <col min="6672" max="6914" width="9.1796875" style="194"/>
    <col min="6915" max="6915" width="14.7265625" style="194" customWidth="1"/>
    <col min="6916" max="6916" width="13.81640625" style="194" customWidth="1"/>
    <col min="6917" max="6917" width="19.54296875" style="194" customWidth="1"/>
    <col min="6918" max="6918" width="10.54296875" style="194" customWidth="1"/>
    <col min="6919" max="6919" width="9.1796875" style="194"/>
    <col min="6920" max="6920" width="11.1796875" style="194" customWidth="1"/>
    <col min="6921" max="6922" width="19" style="194" bestFit="1" customWidth="1"/>
    <col min="6923" max="6925" width="9.1796875" style="194"/>
    <col min="6926" max="6926" width="19.453125" style="194" bestFit="1" customWidth="1"/>
    <col min="6927" max="6927" width="15.26953125" style="194" customWidth="1"/>
    <col min="6928" max="7170" width="9.1796875" style="194"/>
    <col min="7171" max="7171" width="14.7265625" style="194" customWidth="1"/>
    <col min="7172" max="7172" width="13.81640625" style="194" customWidth="1"/>
    <col min="7173" max="7173" width="19.54296875" style="194" customWidth="1"/>
    <col min="7174" max="7174" width="10.54296875" style="194" customWidth="1"/>
    <col min="7175" max="7175" width="9.1796875" style="194"/>
    <col min="7176" max="7176" width="11.1796875" style="194" customWidth="1"/>
    <col min="7177" max="7178" width="19" style="194" bestFit="1" customWidth="1"/>
    <col min="7179" max="7181" width="9.1796875" style="194"/>
    <col min="7182" max="7182" width="19.453125" style="194" bestFit="1" customWidth="1"/>
    <col min="7183" max="7183" width="15.26953125" style="194" customWidth="1"/>
    <col min="7184" max="7426" width="9.1796875" style="194"/>
    <col min="7427" max="7427" width="14.7265625" style="194" customWidth="1"/>
    <col min="7428" max="7428" width="13.81640625" style="194" customWidth="1"/>
    <col min="7429" max="7429" width="19.54296875" style="194" customWidth="1"/>
    <col min="7430" max="7430" width="10.54296875" style="194" customWidth="1"/>
    <col min="7431" max="7431" width="9.1796875" style="194"/>
    <col min="7432" max="7432" width="11.1796875" style="194" customWidth="1"/>
    <col min="7433" max="7434" width="19" style="194" bestFit="1" customWidth="1"/>
    <col min="7435" max="7437" width="9.1796875" style="194"/>
    <col min="7438" max="7438" width="19.453125" style="194" bestFit="1" customWidth="1"/>
    <col min="7439" max="7439" width="15.26953125" style="194" customWidth="1"/>
    <col min="7440" max="7682" width="9.1796875" style="194"/>
    <col min="7683" max="7683" width="14.7265625" style="194" customWidth="1"/>
    <col min="7684" max="7684" width="13.81640625" style="194" customWidth="1"/>
    <col min="7685" max="7685" width="19.54296875" style="194" customWidth="1"/>
    <col min="7686" max="7686" width="10.54296875" style="194" customWidth="1"/>
    <col min="7687" max="7687" width="9.1796875" style="194"/>
    <col min="7688" max="7688" width="11.1796875" style="194" customWidth="1"/>
    <col min="7689" max="7690" width="19" style="194" bestFit="1" customWidth="1"/>
    <col min="7691" max="7693" width="9.1796875" style="194"/>
    <col min="7694" max="7694" width="19.453125" style="194" bestFit="1" customWidth="1"/>
    <col min="7695" max="7695" width="15.26953125" style="194" customWidth="1"/>
    <col min="7696" max="7938" width="9.1796875" style="194"/>
    <col min="7939" max="7939" width="14.7265625" style="194" customWidth="1"/>
    <col min="7940" max="7940" width="13.81640625" style="194" customWidth="1"/>
    <col min="7941" max="7941" width="19.54296875" style="194" customWidth="1"/>
    <col min="7942" max="7942" width="10.54296875" style="194" customWidth="1"/>
    <col min="7943" max="7943" width="9.1796875" style="194"/>
    <col min="7944" max="7944" width="11.1796875" style="194" customWidth="1"/>
    <col min="7945" max="7946" width="19" style="194" bestFit="1" customWidth="1"/>
    <col min="7947" max="7949" width="9.1796875" style="194"/>
    <col min="7950" max="7950" width="19.453125" style="194" bestFit="1" customWidth="1"/>
    <col min="7951" max="7951" width="15.26953125" style="194" customWidth="1"/>
    <col min="7952" max="8194" width="9.1796875" style="194"/>
    <col min="8195" max="8195" width="14.7265625" style="194" customWidth="1"/>
    <col min="8196" max="8196" width="13.81640625" style="194" customWidth="1"/>
    <col min="8197" max="8197" width="19.54296875" style="194" customWidth="1"/>
    <col min="8198" max="8198" width="10.54296875" style="194" customWidth="1"/>
    <col min="8199" max="8199" width="9.1796875" style="194"/>
    <col min="8200" max="8200" width="11.1796875" style="194" customWidth="1"/>
    <col min="8201" max="8202" width="19" style="194" bestFit="1" customWidth="1"/>
    <col min="8203" max="8205" width="9.1796875" style="194"/>
    <col min="8206" max="8206" width="19.453125" style="194" bestFit="1" customWidth="1"/>
    <col min="8207" max="8207" width="15.26953125" style="194" customWidth="1"/>
    <col min="8208" max="8450" width="9.1796875" style="194"/>
    <col min="8451" max="8451" width="14.7265625" style="194" customWidth="1"/>
    <col min="8452" max="8452" width="13.81640625" style="194" customWidth="1"/>
    <col min="8453" max="8453" width="19.54296875" style="194" customWidth="1"/>
    <col min="8454" max="8454" width="10.54296875" style="194" customWidth="1"/>
    <col min="8455" max="8455" width="9.1796875" style="194"/>
    <col min="8456" max="8456" width="11.1796875" style="194" customWidth="1"/>
    <col min="8457" max="8458" width="19" style="194" bestFit="1" customWidth="1"/>
    <col min="8459" max="8461" width="9.1796875" style="194"/>
    <col min="8462" max="8462" width="19.453125" style="194" bestFit="1" customWidth="1"/>
    <col min="8463" max="8463" width="15.26953125" style="194" customWidth="1"/>
    <col min="8464" max="8706" width="9.1796875" style="194"/>
    <col min="8707" max="8707" width="14.7265625" style="194" customWidth="1"/>
    <col min="8708" max="8708" width="13.81640625" style="194" customWidth="1"/>
    <col min="8709" max="8709" width="19.54296875" style="194" customWidth="1"/>
    <col min="8710" max="8710" width="10.54296875" style="194" customWidth="1"/>
    <col min="8711" max="8711" width="9.1796875" style="194"/>
    <col min="8712" max="8712" width="11.1796875" style="194" customWidth="1"/>
    <col min="8713" max="8714" width="19" style="194" bestFit="1" customWidth="1"/>
    <col min="8715" max="8717" width="9.1796875" style="194"/>
    <col min="8718" max="8718" width="19.453125" style="194" bestFit="1" customWidth="1"/>
    <col min="8719" max="8719" width="15.26953125" style="194" customWidth="1"/>
    <col min="8720" max="8962" width="9.1796875" style="194"/>
    <col min="8963" max="8963" width="14.7265625" style="194" customWidth="1"/>
    <col min="8964" max="8964" width="13.81640625" style="194" customWidth="1"/>
    <col min="8965" max="8965" width="19.54296875" style="194" customWidth="1"/>
    <col min="8966" max="8966" width="10.54296875" style="194" customWidth="1"/>
    <col min="8967" max="8967" width="9.1796875" style="194"/>
    <col min="8968" max="8968" width="11.1796875" style="194" customWidth="1"/>
    <col min="8969" max="8970" width="19" style="194" bestFit="1" customWidth="1"/>
    <col min="8971" max="8973" width="9.1796875" style="194"/>
    <col min="8974" max="8974" width="19.453125" style="194" bestFit="1" customWidth="1"/>
    <col min="8975" max="8975" width="15.26953125" style="194" customWidth="1"/>
    <col min="8976" max="9218" width="9.1796875" style="194"/>
    <col min="9219" max="9219" width="14.7265625" style="194" customWidth="1"/>
    <col min="9220" max="9220" width="13.81640625" style="194" customWidth="1"/>
    <col min="9221" max="9221" width="19.54296875" style="194" customWidth="1"/>
    <col min="9222" max="9222" width="10.54296875" style="194" customWidth="1"/>
    <col min="9223" max="9223" width="9.1796875" style="194"/>
    <col min="9224" max="9224" width="11.1796875" style="194" customWidth="1"/>
    <col min="9225" max="9226" width="19" style="194" bestFit="1" customWidth="1"/>
    <col min="9227" max="9229" width="9.1796875" style="194"/>
    <col min="9230" max="9230" width="19.453125" style="194" bestFit="1" customWidth="1"/>
    <col min="9231" max="9231" width="15.26953125" style="194" customWidth="1"/>
    <col min="9232" max="9474" width="9.1796875" style="194"/>
    <col min="9475" max="9475" width="14.7265625" style="194" customWidth="1"/>
    <col min="9476" max="9476" width="13.81640625" style="194" customWidth="1"/>
    <col min="9477" max="9477" width="19.54296875" style="194" customWidth="1"/>
    <col min="9478" max="9478" width="10.54296875" style="194" customWidth="1"/>
    <col min="9479" max="9479" width="9.1796875" style="194"/>
    <col min="9480" max="9480" width="11.1796875" style="194" customWidth="1"/>
    <col min="9481" max="9482" width="19" style="194" bestFit="1" customWidth="1"/>
    <col min="9483" max="9485" width="9.1796875" style="194"/>
    <col min="9486" max="9486" width="19.453125" style="194" bestFit="1" customWidth="1"/>
    <col min="9487" max="9487" width="15.26953125" style="194" customWidth="1"/>
    <col min="9488" max="9730" width="9.1796875" style="194"/>
    <col min="9731" max="9731" width="14.7265625" style="194" customWidth="1"/>
    <col min="9732" max="9732" width="13.81640625" style="194" customWidth="1"/>
    <col min="9733" max="9733" width="19.54296875" style="194" customWidth="1"/>
    <col min="9734" max="9734" width="10.54296875" style="194" customWidth="1"/>
    <col min="9735" max="9735" width="9.1796875" style="194"/>
    <col min="9736" max="9736" width="11.1796875" style="194" customWidth="1"/>
    <col min="9737" max="9738" width="19" style="194" bestFit="1" customWidth="1"/>
    <col min="9739" max="9741" width="9.1796875" style="194"/>
    <col min="9742" max="9742" width="19.453125" style="194" bestFit="1" customWidth="1"/>
    <col min="9743" max="9743" width="15.26953125" style="194" customWidth="1"/>
    <col min="9744" max="9986" width="9.1796875" style="194"/>
    <col min="9987" max="9987" width="14.7265625" style="194" customWidth="1"/>
    <col min="9988" max="9988" width="13.81640625" style="194" customWidth="1"/>
    <col min="9989" max="9989" width="19.54296875" style="194" customWidth="1"/>
    <col min="9990" max="9990" width="10.54296875" style="194" customWidth="1"/>
    <col min="9991" max="9991" width="9.1796875" style="194"/>
    <col min="9992" max="9992" width="11.1796875" style="194" customWidth="1"/>
    <col min="9993" max="9994" width="19" style="194" bestFit="1" customWidth="1"/>
    <col min="9995" max="9997" width="9.1796875" style="194"/>
    <col min="9998" max="9998" width="19.453125" style="194" bestFit="1" customWidth="1"/>
    <col min="9999" max="9999" width="15.26953125" style="194" customWidth="1"/>
    <col min="10000" max="10242" width="9.1796875" style="194"/>
    <col min="10243" max="10243" width="14.7265625" style="194" customWidth="1"/>
    <col min="10244" max="10244" width="13.81640625" style="194" customWidth="1"/>
    <col min="10245" max="10245" width="19.54296875" style="194" customWidth="1"/>
    <col min="10246" max="10246" width="10.54296875" style="194" customWidth="1"/>
    <col min="10247" max="10247" width="9.1796875" style="194"/>
    <col min="10248" max="10248" width="11.1796875" style="194" customWidth="1"/>
    <col min="10249" max="10250" width="19" style="194" bestFit="1" customWidth="1"/>
    <col min="10251" max="10253" width="9.1796875" style="194"/>
    <col min="10254" max="10254" width="19.453125" style="194" bestFit="1" customWidth="1"/>
    <col min="10255" max="10255" width="15.26953125" style="194" customWidth="1"/>
    <col min="10256" max="10498" width="9.1796875" style="194"/>
    <col min="10499" max="10499" width="14.7265625" style="194" customWidth="1"/>
    <col min="10500" max="10500" width="13.81640625" style="194" customWidth="1"/>
    <col min="10501" max="10501" width="19.54296875" style="194" customWidth="1"/>
    <col min="10502" max="10502" width="10.54296875" style="194" customWidth="1"/>
    <col min="10503" max="10503" width="9.1796875" style="194"/>
    <col min="10504" max="10504" width="11.1796875" style="194" customWidth="1"/>
    <col min="10505" max="10506" width="19" style="194" bestFit="1" customWidth="1"/>
    <col min="10507" max="10509" width="9.1796875" style="194"/>
    <col min="10510" max="10510" width="19.453125" style="194" bestFit="1" customWidth="1"/>
    <col min="10511" max="10511" width="15.26953125" style="194" customWidth="1"/>
    <col min="10512" max="10754" width="9.1796875" style="194"/>
    <col min="10755" max="10755" width="14.7265625" style="194" customWidth="1"/>
    <col min="10756" max="10756" width="13.81640625" style="194" customWidth="1"/>
    <col min="10757" max="10757" width="19.54296875" style="194" customWidth="1"/>
    <col min="10758" max="10758" width="10.54296875" style="194" customWidth="1"/>
    <col min="10759" max="10759" width="9.1796875" style="194"/>
    <col min="10760" max="10760" width="11.1796875" style="194" customWidth="1"/>
    <col min="10761" max="10762" width="19" style="194" bestFit="1" customWidth="1"/>
    <col min="10763" max="10765" width="9.1796875" style="194"/>
    <col min="10766" max="10766" width="19.453125" style="194" bestFit="1" customWidth="1"/>
    <col min="10767" max="10767" width="15.26953125" style="194" customWidth="1"/>
    <col min="10768" max="11010" width="9.1796875" style="194"/>
    <col min="11011" max="11011" width="14.7265625" style="194" customWidth="1"/>
    <col min="11012" max="11012" width="13.81640625" style="194" customWidth="1"/>
    <col min="11013" max="11013" width="19.54296875" style="194" customWidth="1"/>
    <col min="11014" max="11014" width="10.54296875" style="194" customWidth="1"/>
    <col min="11015" max="11015" width="9.1796875" style="194"/>
    <col min="11016" max="11016" width="11.1796875" style="194" customWidth="1"/>
    <col min="11017" max="11018" width="19" style="194" bestFit="1" customWidth="1"/>
    <col min="11019" max="11021" width="9.1796875" style="194"/>
    <col min="11022" max="11022" width="19.453125" style="194" bestFit="1" customWidth="1"/>
    <col min="11023" max="11023" width="15.26953125" style="194" customWidth="1"/>
    <col min="11024" max="11266" width="9.1796875" style="194"/>
    <col min="11267" max="11267" width="14.7265625" style="194" customWidth="1"/>
    <col min="11268" max="11268" width="13.81640625" style="194" customWidth="1"/>
    <col min="11269" max="11269" width="19.54296875" style="194" customWidth="1"/>
    <col min="11270" max="11270" width="10.54296875" style="194" customWidth="1"/>
    <col min="11271" max="11271" width="9.1796875" style="194"/>
    <col min="11272" max="11272" width="11.1796875" style="194" customWidth="1"/>
    <col min="11273" max="11274" width="19" style="194" bestFit="1" customWidth="1"/>
    <col min="11275" max="11277" width="9.1796875" style="194"/>
    <col min="11278" max="11278" width="19.453125" style="194" bestFit="1" customWidth="1"/>
    <col min="11279" max="11279" width="15.26953125" style="194" customWidth="1"/>
    <col min="11280" max="11522" width="9.1796875" style="194"/>
    <col min="11523" max="11523" width="14.7265625" style="194" customWidth="1"/>
    <col min="11524" max="11524" width="13.81640625" style="194" customWidth="1"/>
    <col min="11525" max="11525" width="19.54296875" style="194" customWidth="1"/>
    <col min="11526" max="11526" width="10.54296875" style="194" customWidth="1"/>
    <col min="11527" max="11527" width="9.1796875" style="194"/>
    <col min="11528" max="11528" width="11.1796875" style="194" customWidth="1"/>
    <col min="11529" max="11530" width="19" style="194" bestFit="1" customWidth="1"/>
    <col min="11531" max="11533" width="9.1796875" style="194"/>
    <col min="11534" max="11534" width="19.453125" style="194" bestFit="1" customWidth="1"/>
    <col min="11535" max="11535" width="15.26953125" style="194" customWidth="1"/>
    <col min="11536" max="11778" width="9.1796875" style="194"/>
    <col min="11779" max="11779" width="14.7265625" style="194" customWidth="1"/>
    <col min="11780" max="11780" width="13.81640625" style="194" customWidth="1"/>
    <col min="11781" max="11781" width="19.54296875" style="194" customWidth="1"/>
    <col min="11782" max="11782" width="10.54296875" style="194" customWidth="1"/>
    <col min="11783" max="11783" width="9.1796875" style="194"/>
    <col min="11784" max="11784" width="11.1796875" style="194" customWidth="1"/>
    <col min="11785" max="11786" width="19" style="194" bestFit="1" customWidth="1"/>
    <col min="11787" max="11789" width="9.1796875" style="194"/>
    <col min="11790" max="11790" width="19.453125" style="194" bestFit="1" customWidth="1"/>
    <col min="11791" max="11791" width="15.26953125" style="194" customWidth="1"/>
    <col min="11792" max="12034" width="9.1796875" style="194"/>
    <col min="12035" max="12035" width="14.7265625" style="194" customWidth="1"/>
    <col min="12036" max="12036" width="13.81640625" style="194" customWidth="1"/>
    <col min="12037" max="12037" width="19.54296875" style="194" customWidth="1"/>
    <col min="12038" max="12038" width="10.54296875" style="194" customWidth="1"/>
    <col min="12039" max="12039" width="9.1796875" style="194"/>
    <col min="12040" max="12040" width="11.1796875" style="194" customWidth="1"/>
    <col min="12041" max="12042" width="19" style="194" bestFit="1" customWidth="1"/>
    <col min="12043" max="12045" width="9.1796875" style="194"/>
    <col min="12046" max="12046" width="19.453125" style="194" bestFit="1" customWidth="1"/>
    <col min="12047" max="12047" width="15.26953125" style="194" customWidth="1"/>
    <col min="12048" max="12290" width="9.1796875" style="194"/>
    <col min="12291" max="12291" width="14.7265625" style="194" customWidth="1"/>
    <col min="12292" max="12292" width="13.81640625" style="194" customWidth="1"/>
    <col min="12293" max="12293" width="19.54296875" style="194" customWidth="1"/>
    <col min="12294" max="12294" width="10.54296875" style="194" customWidth="1"/>
    <col min="12295" max="12295" width="9.1796875" style="194"/>
    <col min="12296" max="12296" width="11.1796875" style="194" customWidth="1"/>
    <col min="12297" max="12298" width="19" style="194" bestFit="1" customWidth="1"/>
    <col min="12299" max="12301" width="9.1796875" style="194"/>
    <col min="12302" max="12302" width="19.453125" style="194" bestFit="1" customWidth="1"/>
    <col min="12303" max="12303" width="15.26953125" style="194" customWidth="1"/>
    <col min="12304" max="12546" width="9.1796875" style="194"/>
    <col min="12547" max="12547" width="14.7265625" style="194" customWidth="1"/>
    <col min="12548" max="12548" width="13.81640625" style="194" customWidth="1"/>
    <col min="12549" max="12549" width="19.54296875" style="194" customWidth="1"/>
    <col min="12550" max="12550" width="10.54296875" style="194" customWidth="1"/>
    <col min="12551" max="12551" width="9.1796875" style="194"/>
    <col min="12552" max="12552" width="11.1796875" style="194" customWidth="1"/>
    <col min="12553" max="12554" width="19" style="194" bestFit="1" customWidth="1"/>
    <col min="12555" max="12557" width="9.1796875" style="194"/>
    <col min="12558" max="12558" width="19.453125" style="194" bestFit="1" customWidth="1"/>
    <col min="12559" max="12559" width="15.26953125" style="194" customWidth="1"/>
    <col min="12560" max="12802" width="9.1796875" style="194"/>
    <col min="12803" max="12803" width="14.7265625" style="194" customWidth="1"/>
    <col min="12804" max="12804" width="13.81640625" style="194" customWidth="1"/>
    <col min="12805" max="12805" width="19.54296875" style="194" customWidth="1"/>
    <col min="12806" max="12806" width="10.54296875" style="194" customWidth="1"/>
    <col min="12807" max="12807" width="9.1796875" style="194"/>
    <col min="12808" max="12808" width="11.1796875" style="194" customWidth="1"/>
    <col min="12809" max="12810" width="19" style="194" bestFit="1" customWidth="1"/>
    <col min="12811" max="12813" width="9.1796875" style="194"/>
    <col min="12814" max="12814" width="19.453125" style="194" bestFit="1" customWidth="1"/>
    <col min="12815" max="12815" width="15.26953125" style="194" customWidth="1"/>
    <col min="12816" max="13058" width="9.1796875" style="194"/>
    <col min="13059" max="13059" width="14.7265625" style="194" customWidth="1"/>
    <col min="13060" max="13060" width="13.81640625" style="194" customWidth="1"/>
    <col min="13061" max="13061" width="19.54296875" style="194" customWidth="1"/>
    <col min="13062" max="13062" width="10.54296875" style="194" customWidth="1"/>
    <col min="13063" max="13063" width="9.1796875" style="194"/>
    <col min="13064" max="13064" width="11.1796875" style="194" customWidth="1"/>
    <col min="13065" max="13066" width="19" style="194" bestFit="1" customWidth="1"/>
    <col min="13067" max="13069" width="9.1796875" style="194"/>
    <col min="13070" max="13070" width="19.453125" style="194" bestFit="1" customWidth="1"/>
    <col min="13071" max="13071" width="15.26953125" style="194" customWidth="1"/>
    <col min="13072" max="13314" width="9.1796875" style="194"/>
    <col min="13315" max="13315" width="14.7265625" style="194" customWidth="1"/>
    <col min="13316" max="13316" width="13.81640625" style="194" customWidth="1"/>
    <col min="13317" max="13317" width="19.54296875" style="194" customWidth="1"/>
    <col min="13318" max="13318" width="10.54296875" style="194" customWidth="1"/>
    <col min="13319" max="13319" width="9.1796875" style="194"/>
    <col min="13320" max="13320" width="11.1796875" style="194" customWidth="1"/>
    <col min="13321" max="13322" width="19" style="194" bestFit="1" customWidth="1"/>
    <col min="13323" max="13325" width="9.1796875" style="194"/>
    <col min="13326" max="13326" width="19.453125" style="194" bestFit="1" customWidth="1"/>
    <col min="13327" max="13327" width="15.26953125" style="194" customWidth="1"/>
    <col min="13328" max="13570" width="9.1796875" style="194"/>
    <col min="13571" max="13571" width="14.7265625" style="194" customWidth="1"/>
    <col min="13572" max="13572" width="13.81640625" style="194" customWidth="1"/>
    <col min="13573" max="13573" width="19.54296875" style="194" customWidth="1"/>
    <col min="13574" max="13574" width="10.54296875" style="194" customWidth="1"/>
    <col min="13575" max="13575" width="9.1796875" style="194"/>
    <col min="13576" max="13576" width="11.1796875" style="194" customWidth="1"/>
    <col min="13577" max="13578" width="19" style="194" bestFit="1" customWidth="1"/>
    <col min="13579" max="13581" width="9.1796875" style="194"/>
    <col min="13582" max="13582" width="19.453125" style="194" bestFit="1" customWidth="1"/>
    <col min="13583" max="13583" width="15.26953125" style="194" customWidth="1"/>
    <col min="13584" max="13826" width="9.1796875" style="194"/>
    <col min="13827" max="13827" width="14.7265625" style="194" customWidth="1"/>
    <col min="13828" max="13828" width="13.81640625" style="194" customWidth="1"/>
    <col min="13829" max="13829" width="19.54296875" style="194" customWidth="1"/>
    <col min="13830" max="13830" width="10.54296875" style="194" customWidth="1"/>
    <col min="13831" max="13831" width="9.1796875" style="194"/>
    <col min="13832" max="13832" width="11.1796875" style="194" customWidth="1"/>
    <col min="13833" max="13834" width="19" style="194" bestFit="1" customWidth="1"/>
    <col min="13835" max="13837" width="9.1796875" style="194"/>
    <col min="13838" max="13838" width="19.453125" style="194" bestFit="1" customWidth="1"/>
    <col min="13839" max="13839" width="15.26953125" style="194" customWidth="1"/>
    <col min="13840" max="14082" width="9.1796875" style="194"/>
    <col min="14083" max="14083" width="14.7265625" style="194" customWidth="1"/>
    <col min="14084" max="14084" width="13.81640625" style="194" customWidth="1"/>
    <col min="14085" max="14085" width="19.54296875" style="194" customWidth="1"/>
    <col min="14086" max="14086" width="10.54296875" style="194" customWidth="1"/>
    <col min="14087" max="14087" width="9.1796875" style="194"/>
    <col min="14088" max="14088" width="11.1796875" style="194" customWidth="1"/>
    <col min="14089" max="14090" width="19" style="194" bestFit="1" customWidth="1"/>
    <col min="14091" max="14093" width="9.1796875" style="194"/>
    <col min="14094" max="14094" width="19.453125" style="194" bestFit="1" customWidth="1"/>
    <col min="14095" max="14095" width="15.26953125" style="194" customWidth="1"/>
    <col min="14096" max="14338" width="9.1796875" style="194"/>
    <col min="14339" max="14339" width="14.7265625" style="194" customWidth="1"/>
    <col min="14340" max="14340" width="13.81640625" style="194" customWidth="1"/>
    <col min="14341" max="14341" width="19.54296875" style="194" customWidth="1"/>
    <col min="14342" max="14342" width="10.54296875" style="194" customWidth="1"/>
    <col min="14343" max="14343" width="9.1796875" style="194"/>
    <col min="14344" max="14344" width="11.1796875" style="194" customWidth="1"/>
    <col min="14345" max="14346" width="19" style="194" bestFit="1" customWidth="1"/>
    <col min="14347" max="14349" width="9.1796875" style="194"/>
    <col min="14350" max="14350" width="19.453125" style="194" bestFit="1" customWidth="1"/>
    <col min="14351" max="14351" width="15.26953125" style="194" customWidth="1"/>
    <col min="14352" max="14594" width="9.1796875" style="194"/>
    <col min="14595" max="14595" width="14.7265625" style="194" customWidth="1"/>
    <col min="14596" max="14596" width="13.81640625" style="194" customWidth="1"/>
    <col min="14597" max="14597" width="19.54296875" style="194" customWidth="1"/>
    <col min="14598" max="14598" width="10.54296875" style="194" customWidth="1"/>
    <col min="14599" max="14599" width="9.1796875" style="194"/>
    <col min="14600" max="14600" width="11.1796875" style="194" customWidth="1"/>
    <col min="14601" max="14602" width="19" style="194" bestFit="1" customWidth="1"/>
    <col min="14603" max="14605" width="9.1796875" style="194"/>
    <col min="14606" max="14606" width="19.453125" style="194" bestFit="1" customWidth="1"/>
    <col min="14607" max="14607" width="15.26953125" style="194" customWidth="1"/>
    <col min="14608" max="14850" width="9.1796875" style="194"/>
    <col min="14851" max="14851" width="14.7265625" style="194" customWidth="1"/>
    <col min="14852" max="14852" width="13.81640625" style="194" customWidth="1"/>
    <col min="14853" max="14853" width="19.54296875" style="194" customWidth="1"/>
    <col min="14854" max="14854" width="10.54296875" style="194" customWidth="1"/>
    <col min="14855" max="14855" width="9.1796875" style="194"/>
    <col min="14856" max="14856" width="11.1796875" style="194" customWidth="1"/>
    <col min="14857" max="14858" width="19" style="194" bestFit="1" customWidth="1"/>
    <col min="14859" max="14861" width="9.1796875" style="194"/>
    <col min="14862" max="14862" width="19.453125" style="194" bestFit="1" customWidth="1"/>
    <col min="14863" max="14863" width="15.26953125" style="194" customWidth="1"/>
    <col min="14864" max="15106" width="9.1796875" style="194"/>
    <col min="15107" max="15107" width="14.7265625" style="194" customWidth="1"/>
    <col min="15108" max="15108" width="13.81640625" style="194" customWidth="1"/>
    <col min="15109" max="15109" width="19.54296875" style="194" customWidth="1"/>
    <col min="15110" max="15110" width="10.54296875" style="194" customWidth="1"/>
    <col min="15111" max="15111" width="9.1796875" style="194"/>
    <col min="15112" max="15112" width="11.1796875" style="194" customWidth="1"/>
    <col min="15113" max="15114" width="19" style="194" bestFit="1" customWidth="1"/>
    <col min="15115" max="15117" width="9.1796875" style="194"/>
    <col min="15118" max="15118" width="19.453125" style="194" bestFit="1" customWidth="1"/>
    <col min="15119" max="15119" width="15.26953125" style="194" customWidth="1"/>
    <col min="15120" max="15362" width="9.1796875" style="194"/>
    <col min="15363" max="15363" width="14.7265625" style="194" customWidth="1"/>
    <col min="15364" max="15364" width="13.81640625" style="194" customWidth="1"/>
    <col min="15365" max="15365" width="19.54296875" style="194" customWidth="1"/>
    <col min="15366" max="15366" width="10.54296875" style="194" customWidth="1"/>
    <col min="15367" max="15367" width="9.1796875" style="194"/>
    <col min="15368" max="15368" width="11.1796875" style="194" customWidth="1"/>
    <col min="15369" max="15370" width="19" style="194" bestFit="1" customWidth="1"/>
    <col min="15371" max="15373" width="9.1796875" style="194"/>
    <col min="15374" max="15374" width="19.453125" style="194" bestFit="1" customWidth="1"/>
    <col min="15375" max="15375" width="15.26953125" style="194" customWidth="1"/>
    <col min="15376" max="15618" width="9.1796875" style="194"/>
    <col min="15619" max="15619" width="14.7265625" style="194" customWidth="1"/>
    <col min="15620" max="15620" width="13.81640625" style="194" customWidth="1"/>
    <col min="15621" max="15621" width="19.54296875" style="194" customWidth="1"/>
    <col min="15622" max="15622" width="10.54296875" style="194" customWidth="1"/>
    <col min="15623" max="15623" width="9.1796875" style="194"/>
    <col min="15624" max="15624" width="11.1796875" style="194" customWidth="1"/>
    <col min="15625" max="15626" width="19" style="194" bestFit="1" customWidth="1"/>
    <col min="15627" max="15629" width="9.1796875" style="194"/>
    <col min="15630" max="15630" width="19.453125" style="194" bestFit="1" customWidth="1"/>
    <col min="15631" max="15631" width="15.26953125" style="194" customWidth="1"/>
    <col min="15632" max="15874" width="9.1796875" style="194"/>
    <col min="15875" max="15875" width="14.7265625" style="194" customWidth="1"/>
    <col min="15876" max="15876" width="13.81640625" style="194" customWidth="1"/>
    <col min="15877" max="15877" width="19.54296875" style="194" customWidth="1"/>
    <col min="15878" max="15878" width="10.54296875" style="194" customWidth="1"/>
    <col min="15879" max="15879" width="9.1796875" style="194"/>
    <col min="15880" max="15880" width="11.1796875" style="194" customWidth="1"/>
    <col min="15881" max="15882" width="19" style="194" bestFit="1" customWidth="1"/>
    <col min="15883" max="15885" width="9.1796875" style="194"/>
    <col min="15886" max="15886" width="19.453125" style="194" bestFit="1" customWidth="1"/>
    <col min="15887" max="15887" width="15.26953125" style="194" customWidth="1"/>
    <col min="15888" max="16130" width="9.1796875" style="194"/>
    <col min="16131" max="16131" width="14.7265625" style="194" customWidth="1"/>
    <col min="16132" max="16132" width="13.81640625" style="194" customWidth="1"/>
    <col min="16133" max="16133" width="19.54296875" style="194" customWidth="1"/>
    <col min="16134" max="16134" width="10.54296875" style="194" customWidth="1"/>
    <col min="16135" max="16135" width="9.1796875" style="194"/>
    <col min="16136" max="16136" width="11.1796875" style="194" customWidth="1"/>
    <col min="16137" max="16138" width="19" style="194" bestFit="1" customWidth="1"/>
    <col min="16139" max="16141" width="9.1796875" style="194"/>
    <col min="16142" max="16142" width="19.453125" style="194" bestFit="1" customWidth="1"/>
    <col min="16143" max="16143" width="15.26953125" style="194" customWidth="1"/>
    <col min="16144" max="16384" width="9.1796875" style="194"/>
  </cols>
  <sheetData>
    <row r="1" spans="1:44" s="190" customFormat="1" ht="12.75" customHeight="1">
      <c r="A1" s="406" t="s">
        <v>206</v>
      </c>
      <c r="B1" s="406"/>
      <c r="C1" s="406"/>
      <c r="D1" s="406"/>
      <c r="E1" s="406"/>
      <c r="F1" s="406"/>
      <c r="G1" s="406"/>
      <c r="H1" s="406"/>
      <c r="I1" s="406"/>
      <c r="J1" s="406"/>
      <c r="K1" s="406"/>
      <c r="L1" s="263">
        <v>1</v>
      </c>
      <c r="M1" s="263">
        <v>3</v>
      </c>
      <c r="N1" s="262"/>
      <c r="O1" s="262"/>
      <c r="P1" s="187" t="s">
        <v>299</v>
      </c>
      <c r="Q1" s="187"/>
      <c r="R1" s="188"/>
      <c r="S1" s="188"/>
      <c r="T1" s="188"/>
      <c r="U1" s="188"/>
      <c r="V1" s="188"/>
      <c r="W1" s="188"/>
      <c r="X1" s="188"/>
      <c r="Y1" s="188"/>
      <c r="Z1" s="188"/>
      <c r="AA1" s="188"/>
      <c r="AB1" s="188"/>
      <c r="AC1" s="188"/>
      <c r="AD1" s="188"/>
      <c r="AE1" s="188"/>
      <c r="AF1" s="188"/>
      <c r="AG1" s="188"/>
      <c r="AH1" s="188"/>
      <c r="AI1" s="188"/>
      <c r="AJ1" s="188"/>
      <c r="AK1" s="188"/>
      <c r="AL1" s="188"/>
      <c r="AM1" s="188"/>
      <c r="AN1" s="188"/>
      <c r="AO1" s="188"/>
      <c r="AP1" s="188"/>
      <c r="AQ1" s="188"/>
      <c r="AR1" s="189"/>
    </row>
    <row r="2" spans="1:44" s="193" customFormat="1" ht="13.5" thickBot="1">
      <c r="A2" s="406"/>
      <c r="B2" s="406"/>
      <c r="C2" s="406"/>
      <c r="D2" s="406"/>
      <c r="E2" s="406"/>
      <c r="F2" s="406"/>
      <c r="G2" s="406"/>
      <c r="H2" s="406"/>
      <c r="I2" s="406"/>
      <c r="J2" s="406"/>
      <c r="K2" s="406"/>
      <c r="L2" s="262"/>
      <c r="M2" s="262"/>
      <c r="N2" s="262"/>
      <c r="O2" s="262"/>
      <c r="P2" s="187"/>
      <c r="Q2" s="187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1"/>
      <c r="AO2" s="191"/>
      <c r="AP2" s="191"/>
      <c r="AQ2" s="191"/>
      <c r="AR2" s="192"/>
    </row>
    <row r="3" spans="1:44" ht="39.75" customHeight="1" thickBot="1">
      <c r="A3" s="365" t="s">
        <v>207</v>
      </c>
      <c r="B3" s="365" t="s">
        <v>208</v>
      </c>
      <c r="C3" s="358" t="s">
        <v>209</v>
      </c>
      <c r="D3" s="358" t="s">
        <v>210</v>
      </c>
      <c r="E3" s="358" t="s">
        <v>211</v>
      </c>
      <c r="F3" s="358" t="s">
        <v>212</v>
      </c>
      <c r="G3" s="360" t="s">
        <v>213</v>
      </c>
      <c r="K3" s="195" t="s">
        <v>214</v>
      </c>
      <c r="L3" s="196" t="s">
        <v>215</v>
      </c>
      <c r="M3" s="196" t="s">
        <v>216</v>
      </c>
      <c r="N3" s="196" t="s">
        <v>217</v>
      </c>
      <c r="O3" s="196" t="s">
        <v>218</v>
      </c>
      <c r="P3" s="196" t="s">
        <v>53</v>
      </c>
    </row>
    <row r="4" spans="1:44" ht="18" customHeight="1">
      <c r="A4" s="366"/>
      <c r="B4" s="366"/>
      <c r="C4" s="359"/>
      <c r="D4" s="359"/>
      <c r="E4" s="359"/>
      <c r="F4" s="359"/>
      <c r="G4" s="361"/>
      <c r="K4" s="197">
        <f>IFERROR(((K30-K26)/(2*K28))*100,"")</f>
        <v>19.916020909313442</v>
      </c>
      <c r="L4" s="197">
        <f>F43</f>
        <v>0</v>
      </c>
      <c r="M4" s="197">
        <f>G43</f>
        <v>244.10000000000002</v>
      </c>
      <c r="N4" s="197">
        <f>H43</f>
        <v>248.8</v>
      </c>
      <c r="O4" s="197">
        <f>C15</f>
        <v>248.8</v>
      </c>
      <c r="P4" s="197">
        <f>C20</f>
        <v>0.99520000000000008</v>
      </c>
    </row>
    <row r="5" spans="1:44" ht="12.75" customHeight="1">
      <c r="A5" s="198">
        <v>4.8</v>
      </c>
      <c r="B5" s="198">
        <v>4</v>
      </c>
      <c r="C5" s="199">
        <v>0</v>
      </c>
      <c r="D5" s="200">
        <f>IF(C5="","",C5)</f>
        <v>0</v>
      </c>
      <c r="E5" s="201">
        <f t="shared" ref="E5:E14" si="0">IF(C5="","",C5/$C$15*100)</f>
        <v>0</v>
      </c>
      <c r="F5" s="202">
        <f t="shared" ref="F5:F14" si="1">IFERROR(D5/$D$13*100,"")</f>
        <v>0</v>
      </c>
      <c r="G5" s="203">
        <v>4.8</v>
      </c>
      <c r="J5" s="204"/>
      <c r="K5" s="205"/>
    </row>
    <row r="6" spans="1:44" ht="12.75" customHeight="1">
      <c r="A6" s="206">
        <v>4</v>
      </c>
      <c r="B6" s="206">
        <v>5</v>
      </c>
      <c r="C6" s="207">
        <v>21.6</v>
      </c>
      <c r="D6" s="208">
        <f t="shared" ref="D6:D14" si="2">IF(C6="","",C6+D5)</f>
        <v>21.6</v>
      </c>
      <c r="E6" s="209">
        <f t="shared" si="0"/>
        <v>8.6816720257234739</v>
      </c>
      <c r="F6" s="210">
        <f t="shared" si="1"/>
        <v>8.6816720257234739</v>
      </c>
      <c r="G6" s="211">
        <v>4</v>
      </c>
      <c r="J6" s="204"/>
      <c r="K6" s="205"/>
    </row>
    <row r="7" spans="1:44">
      <c r="A7" s="198">
        <v>3.36</v>
      </c>
      <c r="B7" s="198">
        <v>6</v>
      </c>
      <c r="C7" s="199">
        <v>81</v>
      </c>
      <c r="D7" s="212">
        <f t="shared" si="2"/>
        <v>102.6</v>
      </c>
      <c r="E7" s="201">
        <f t="shared" si="0"/>
        <v>32.556270096463017</v>
      </c>
      <c r="F7" s="202">
        <f t="shared" si="1"/>
        <v>41.237942122186489</v>
      </c>
      <c r="G7" s="203">
        <v>3.35</v>
      </c>
    </row>
    <row r="8" spans="1:44" ht="13.5" thickBot="1">
      <c r="A8" s="206">
        <v>2.8</v>
      </c>
      <c r="B8" s="206">
        <v>7</v>
      </c>
      <c r="C8" s="207">
        <v>81.900000000000006</v>
      </c>
      <c r="D8" s="213">
        <f t="shared" si="2"/>
        <v>184.5</v>
      </c>
      <c r="E8" s="209">
        <f t="shared" si="0"/>
        <v>32.918006430868168</v>
      </c>
      <c r="F8" s="210">
        <f t="shared" si="1"/>
        <v>74.155948553054657</v>
      </c>
      <c r="G8" s="211">
        <v>2.8</v>
      </c>
      <c r="J8" s="214"/>
      <c r="K8" s="214"/>
      <c r="L8" s="214"/>
      <c r="M8" s="214"/>
      <c r="N8" s="214"/>
      <c r="O8" s="214"/>
      <c r="P8" s="214"/>
      <c r="Q8" s="214"/>
    </row>
    <row r="9" spans="1:44" ht="13">
      <c r="A9" s="198">
        <v>2.36</v>
      </c>
      <c r="B9" s="198">
        <v>8</v>
      </c>
      <c r="C9" s="199">
        <v>46.3</v>
      </c>
      <c r="D9" s="200">
        <f t="shared" si="2"/>
        <v>230.8</v>
      </c>
      <c r="E9" s="201">
        <f t="shared" si="0"/>
        <v>18.60932475884244</v>
      </c>
      <c r="F9" s="202">
        <f t="shared" si="1"/>
        <v>92.765273311897118</v>
      </c>
      <c r="G9" s="203">
        <v>2.38</v>
      </c>
      <c r="J9" s="381" t="s">
        <v>219</v>
      </c>
      <c r="K9" s="382"/>
      <c r="L9" s="382"/>
      <c r="M9" s="382"/>
      <c r="N9" s="382"/>
      <c r="O9" s="382"/>
      <c r="P9" s="382"/>
      <c r="Q9" s="382"/>
      <c r="R9" s="383"/>
    </row>
    <row r="10" spans="1:44" ht="12.75" customHeight="1">
      <c r="A10" s="206">
        <v>2</v>
      </c>
      <c r="B10" s="206">
        <v>10</v>
      </c>
      <c r="C10" s="207">
        <v>13.3</v>
      </c>
      <c r="D10" s="213">
        <f t="shared" si="2"/>
        <v>244.10000000000002</v>
      </c>
      <c r="E10" s="209">
        <f t="shared" si="0"/>
        <v>5.345659163987138</v>
      </c>
      <c r="F10" s="210">
        <f t="shared" si="1"/>
        <v>98.110932475884255</v>
      </c>
      <c r="G10" s="211">
        <v>2</v>
      </c>
      <c r="J10" s="215" t="s">
        <v>220</v>
      </c>
      <c r="K10" s="216" t="s">
        <v>221</v>
      </c>
      <c r="L10" s="384" t="s">
        <v>221</v>
      </c>
      <c r="M10" s="384"/>
      <c r="N10" s="384"/>
      <c r="O10" s="384"/>
      <c r="P10" s="384"/>
      <c r="Q10" s="384"/>
      <c r="R10" s="385"/>
    </row>
    <row r="11" spans="1:44" ht="12.75" customHeight="1">
      <c r="A11" s="198">
        <v>1.41</v>
      </c>
      <c r="B11" s="198">
        <v>14</v>
      </c>
      <c r="C11" s="199">
        <v>4.7</v>
      </c>
      <c r="D11" s="200">
        <f t="shared" si="2"/>
        <v>248.8</v>
      </c>
      <c r="E11" s="201">
        <f t="shared" si="0"/>
        <v>1.8890675241157555</v>
      </c>
      <c r="F11" s="202">
        <f t="shared" si="1"/>
        <v>100</v>
      </c>
      <c r="G11" s="203">
        <v>1.4</v>
      </c>
      <c r="J11" s="217" t="s">
        <v>222</v>
      </c>
      <c r="K11" s="218" t="s">
        <v>223</v>
      </c>
      <c r="L11" s="386" t="s">
        <v>223</v>
      </c>
      <c r="M11" s="386"/>
      <c r="N11" s="386"/>
      <c r="O11" s="386"/>
      <c r="P11" s="386"/>
      <c r="Q11" s="386"/>
      <c r="R11" s="387"/>
    </row>
    <row r="12" spans="1:44" ht="12.75" customHeight="1" thickBot="1">
      <c r="A12" s="206">
        <v>1</v>
      </c>
      <c r="B12" s="206">
        <v>18</v>
      </c>
      <c r="C12" s="207">
        <v>0</v>
      </c>
      <c r="D12" s="213">
        <f t="shared" si="2"/>
        <v>248.8</v>
      </c>
      <c r="E12" s="209">
        <f t="shared" si="0"/>
        <v>0</v>
      </c>
      <c r="F12" s="210">
        <f t="shared" si="1"/>
        <v>100</v>
      </c>
      <c r="G12" s="211">
        <v>1</v>
      </c>
      <c r="J12" s="219" t="s">
        <v>224</v>
      </c>
      <c r="K12" s="220" t="s">
        <v>225</v>
      </c>
      <c r="L12" s="388" t="s">
        <v>225</v>
      </c>
      <c r="M12" s="388"/>
      <c r="N12" s="388"/>
      <c r="O12" s="388"/>
      <c r="P12" s="388"/>
      <c r="Q12" s="388"/>
      <c r="R12" s="389"/>
    </row>
    <row r="13" spans="1:44">
      <c r="A13" s="198">
        <v>0.5</v>
      </c>
      <c r="B13" s="198">
        <v>35</v>
      </c>
      <c r="C13" s="199">
        <v>0</v>
      </c>
      <c r="D13" s="200">
        <f t="shared" si="2"/>
        <v>248.8</v>
      </c>
      <c r="E13" s="201">
        <f t="shared" si="0"/>
        <v>0</v>
      </c>
      <c r="F13" s="202">
        <f t="shared" si="1"/>
        <v>100</v>
      </c>
      <c r="G13" s="203">
        <v>0.5</v>
      </c>
    </row>
    <row r="14" spans="1:44">
      <c r="A14" s="206" t="s">
        <v>49</v>
      </c>
      <c r="B14" s="206" t="s">
        <v>226</v>
      </c>
      <c r="C14" s="207">
        <v>0</v>
      </c>
      <c r="D14" s="213">
        <f t="shared" si="2"/>
        <v>248.8</v>
      </c>
      <c r="E14" s="209">
        <f t="shared" si="0"/>
        <v>0</v>
      </c>
      <c r="F14" s="210">
        <f t="shared" si="1"/>
        <v>100</v>
      </c>
      <c r="G14" s="211" t="s">
        <v>226</v>
      </c>
    </row>
    <row r="15" spans="1:44" ht="13" thickBot="1">
      <c r="A15" s="221"/>
      <c r="B15" s="222" t="s">
        <v>227</v>
      </c>
      <c r="C15" s="223">
        <f>SUM(C5:C14)</f>
        <v>248.8</v>
      </c>
      <c r="D15" s="224">
        <f>SUM(D5:D14)</f>
        <v>1778.8</v>
      </c>
      <c r="E15" s="223">
        <f>SUM(E5:E14)/100</f>
        <v>0.99999999999999989</v>
      </c>
      <c r="F15" s="225">
        <f>IFERROR(D15/$D$14*100,"")</f>
        <v>714.95176848874587</v>
      </c>
      <c r="G15" s="226"/>
      <c r="I15" s="227"/>
      <c r="J15" s="227"/>
      <c r="K15" s="227"/>
      <c r="L15" s="227"/>
      <c r="M15" s="227"/>
      <c r="N15" s="227"/>
      <c r="O15" s="227"/>
      <c r="P15" s="227"/>
    </row>
    <row r="16" spans="1:44" ht="13" thickBot="1">
      <c r="A16" s="227"/>
      <c r="B16" s="227"/>
      <c r="C16" s="227"/>
      <c r="D16" s="227"/>
      <c r="E16" s="227"/>
      <c r="F16" s="227"/>
      <c r="G16" s="227"/>
      <c r="H16" s="227"/>
      <c r="I16" s="227"/>
      <c r="J16" s="227"/>
      <c r="K16" s="227"/>
      <c r="L16" s="227"/>
      <c r="M16" s="227"/>
      <c r="N16" s="227"/>
      <c r="O16" s="227"/>
    </row>
    <row r="17" spans="1:15" ht="14.5">
      <c r="A17" s="227"/>
      <c r="B17" s="351" t="s">
        <v>53</v>
      </c>
      <c r="C17" s="353"/>
      <c r="D17" s="227"/>
      <c r="E17" s="227"/>
      <c r="F17" s="227"/>
      <c r="G17" s="227"/>
      <c r="H17" s="227"/>
      <c r="I17" s="227"/>
      <c r="J17" s="227">
        <f>198.3/220</f>
        <v>0.90136363636363637</v>
      </c>
      <c r="K17" s="227"/>
      <c r="L17" s="227"/>
      <c r="M17" s="227"/>
      <c r="N17" s="227"/>
      <c r="O17" s="227"/>
    </row>
    <row r="18" spans="1:15" ht="14.5">
      <c r="A18" s="227"/>
      <c r="B18" s="111" t="s">
        <v>26</v>
      </c>
      <c r="C18" s="228">
        <f>C15</f>
        <v>248.8</v>
      </c>
      <c r="D18" s="227"/>
      <c r="E18" s="227"/>
      <c r="F18" s="227"/>
      <c r="G18" s="227"/>
      <c r="H18" s="227"/>
      <c r="I18" s="227"/>
      <c r="J18" s="227"/>
      <c r="K18" s="227"/>
      <c r="L18" s="227"/>
      <c r="M18" s="227"/>
      <c r="N18" s="227"/>
      <c r="O18" s="227"/>
    </row>
    <row r="19" spans="1:15" ht="14.5">
      <c r="A19" s="227"/>
      <c r="B19" s="144" t="s">
        <v>54</v>
      </c>
      <c r="C19" s="229">
        <v>250</v>
      </c>
      <c r="D19" s="227"/>
      <c r="E19" s="227"/>
      <c r="F19" s="227"/>
      <c r="G19" s="227"/>
      <c r="H19" s="227"/>
      <c r="I19" s="227"/>
      <c r="J19" s="227"/>
      <c r="K19" s="227"/>
      <c r="L19" s="227"/>
      <c r="M19" s="227"/>
      <c r="N19" s="227"/>
      <c r="O19" s="227"/>
    </row>
    <row r="20" spans="1:15" ht="14.5">
      <c r="A20" s="227"/>
      <c r="B20" s="111" t="s">
        <v>55</v>
      </c>
      <c r="C20" s="228">
        <f>C18/C19</f>
        <v>0.99520000000000008</v>
      </c>
      <c r="D20" s="227"/>
      <c r="E20" s="227"/>
      <c r="F20" s="227"/>
      <c r="G20" s="227"/>
      <c r="H20" s="227"/>
      <c r="I20" s="227"/>
      <c r="J20" s="227"/>
      <c r="K20" s="227"/>
      <c r="L20" s="227"/>
      <c r="M20" s="227"/>
      <c r="N20" s="227"/>
      <c r="O20" s="227"/>
    </row>
    <row r="21" spans="1:15">
      <c r="A21" s="227"/>
      <c r="B21" s="227"/>
      <c r="C21" s="227"/>
      <c r="D21" s="227"/>
      <c r="E21" s="227"/>
      <c r="F21" s="227"/>
      <c r="G21" s="227"/>
      <c r="H21" s="227"/>
      <c r="I21" s="227"/>
      <c r="J21" s="227"/>
      <c r="K21" s="227"/>
      <c r="L21" s="227"/>
      <c r="M21" s="227"/>
      <c r="N21" s="227"/>
      <c r="O21" s="227"/>
    </row>
    <row r="22" spans="1:15">
      <c r="A22" s="227"/>
      <c r="B22" s="227"/>
      <c r="C22" s="227"/>
      <c r="D22" s="227"/>
      <c r="E22" s="227"/>
      <c r="F22" s="227"/>
      <c r="G22" s="227"/>
      <c r="H22" s="227"/>
      <c r="I22" s="227"/>
      <c r="J22" s="227"/>
      <c r="K22" s="227"/>
      <c r="L22" s="227"/>
      <c r="M22" s="227"/>
      <c r="N22" s="227"/>
      <c r="O22" s="227"/>
    </row>
    <row r="23" spans="1:15">
      <c r="A23" s="227"/>
      <c r="B23" s="227"/>
      <c r="C23" s="227"/>
      <c r="D23" s="227"/>
      <c r="E23" s="227"/>
      <c r="F23" s="227"/>
      <c r="G23" s="227"/>
      <c r="H23" s="227"/>
      <c r="I23" s="227"/>
      <c r="J23" s="227"/>
      <c r="K23" s="227"/>
      <c r="L23" s="227"/>
      <c r="M23" s="227"/>
      <c r="N23" s="227"/>
      <c r="O23" s="227"/>
    </row>
    <row r="24" spans="1:15" ht="13">
      <c r="A24" s="230"/>
      <c r="B24" s="364" t="s">
        <v>228</v>
      </c>
      <c r="C24" s="231"/>
      <c r="D24" s="364" t="s">
        <v>229</v>
      </c>
      <c r="E24" s="231"/>
      <c r="F24" s="364" t="s">
        <v>230</v>
      </c>
      <c r="G24" s="231"/>
      <c r="H24" s="364" t="s">
        <v>229</v>
      </c>
      <c r="L24" s="227"/>
      <c r="M24" s="227"/>
      <c r="N24" s="227"/>
      <c r="O24" s="227"/>
    </row>
    <row r="25" spans="1:15" ht="13">
      <c r="A25" s="232"/>
      <c r="B25" s="364"/>
      <c r="C25" s="231"/>
      <c r="D25" s="364"/>
      <c r="E25" s="231"/>
      <c r="F25" s="364"/>
      <c r="G25" s="231"/>
      <c r="H25" s="364"/>
      <c r="L25" s="227"/>
      <c r="M25" s="227"/>
      <c r="N25" s="227"/>
      <c r="O25" s="227"/>
    </row>
    <row r="26" spans="1:15">
      <c r="A26" s="367" t="s">
        <v>231</v>
      </c>
      <c r="B26" s="368">
        <f>IFERROR(VLOOKUP(D26,F5:G13,2,FALSE),"")</f>
        <v>2.38</v>
      </c>
      <c r="C26" s="370" t="s">
        <v>232</v>
      </c>
      <c r="D26" s="371" cm="1">
        <f t="array" ref="D26">IFERROR(SUMPRODUCT(LARGE((F5:F13&gt;84)*(F5:F13),COUNTIF(F5:F13,"&gt;"&amp;84))),"")</f>
        <v>92.765273311897118</v>
      </c>
      <c r="E26" s="373" t="s">
        <v>233</v>
      </c>
      <c r="F26" s="368">
        <f>IFERROR(VLOOKUP(H26,F5:G13,2,FALSE),"")</f>
        <v>2.8</v>
      </c>
      <c r="G26" s="370" t="s">
        <v>234</v>
      </c>
      <c r="H26" s="371" cm="1">
        <f t="array" ref="H26">IFERROR(SUMPRODUCT(SMALL((F5:F13&gt;0)*(F5:F13),COUNTIF(F5:F13,"&lt;"&amp;84))),"")</f>
        <v>74.155948553054657</v>
      </c>
      <c r="J26" s="377" t="s">
        <v>235</v>
      </c>
      <c r="K26" s="379">
        <f>IFERROR(B26+((D26-84)/(D26-H26))*(F26-B26),"")</f>
        <v>2.5778263498920087</v>
      </c>
      <c r="L26" s="227"/>
      <c r="M26" s="227"/>
      <c r="N26" s="227"/>
      <c r="O26" s="227"/>
    </row>
    <row r="27" spans="1:15">
      <c r="A27" s="367"/>
      <c r="B27" s="369"/>
      <c r="C27" s="370"/>
      <c r="D27" s="372"/>
      <c r="E27" s="373"/>
      <c r="F27" s="369"/>
      <c r="G27" s="370"/>
      <c r="H27" s="372"/>
      <c r="J27" s="378"/>
      <c r="K27" s="380"/>
      <c r="L27" s="227"/>
      <c r="M27" s="227"/>
      <c r="N27" s="227"/>
      <c r="O27" s="227"/>
    </row>
    <row r="28" spans="1:15" ht="12" customHeight="1">
      <c r="A28" s="367" t="s">
        <v>236</v>
      </c>
      <c r="B28" s="368">
        <f>IFERROR(VLOOKUP(D28,F5:G13,2,FALSE),"")</f>
        <v>2.8</v>
      </c>
      <c r="C28" s="368" t="s">
        <v>237</v>
      </c>
      <c r="D28" s="371" cm="1">
        <f t="array" ref="D28">IFERROR(SUMPRODUCT(LARGE((F5:F13&gt;50)*(F5:F13),COUNTIF(F5:F13,"&gt;"&amp;50))),"")</f>
        <v>74.155948553054657</v>
      </c>
      <c r="E28" s="374" t="s">
        <v>238</v>
      </c>
      <c r="F28" s="368">
        <f>IFERROR(VLOOKUP(H28,F5:G13,2,FALSE),"")</f>
        <v>3.35</v>
      </c>
      <c r="G28" s="368" t="s">
        <v>239</v>
      </c>
      <c r="H28" s="371" cm="1">
        <f t="array" ref="H28">IFERROR(SUMPRODUCT(SMALL((F5:F13&gt;0)*(F5:F13),COUNTIF(F5:F13,"&lt;"&amp;50))),"")</f>
        <v>41.237942122186489</v>
      </c>
      <c r="J28" s="377" t="s">
        <v>240</v>
      </c>
      <c r="K28" s="379">
        <f>IFERROR(B28+((D28-50)/(D28-H28))*(F28-B28),"")</f>
        <v>3.2036019536019538</v>
      </c>
      <c r="L28" s="227"/>
      <c r="M28" s="227"/>
      <c r="N28" s="227"/>
      <c r="O28" s="227"/>
    </row>
    <row r="29" spans="1:15" ht="12" customHeight="1">
      <c r="A29" s="367"/>
      <c r="B29" s="369"/>
      <c r="C29" s="369"/>
      <c r="D29" s="372"/>
      <c r="E29" s="375"/>
      <c r="F29" s="369"/>
      <c r="G29" s="369"/>
      <c r="H29" s="372"/>
      <c r="J29" s="378"/>
      <c r="K29" s="380"/>
      <c r="L29" s="227"/>
      <c r="M29" s="227"/>
      <c r="N29" s="227"/>
      <c r="O29" s="227"/>
    </row>
    <row r="30" spans="1:15" ht="12" customHeight="1">
      <c r="A30" s="367" t="s">
        <v>241</v>
      </c>
      <c r="B30" s="368">
        <f>IFERROR(VLOOKUP(D30,F5:G13,2,FALSE),"")</f>
        <v>3.35</v>
      </c>
      <c r="C30" s="368" t="s">
        <v>242</v>
      </c>
      <c r="D30" s="371" cm="1">
        <f t="array" ref="D30">IFERROR(SUMPRODUCT(LARGE((F5:F13&gt;16)*(F5:F13),COUNTIF(F5:F13,"&gt;"&amp;16))),"")</f>
        <v>41.237942122186489</v>
      </c>
      <c r="E30" s="374" t="s">
        <v>243</v>
      </c>
      <c r="F30" s="368">
        <f>IFERROR(VLOOKUP(H30,F5:G13,2,FALSE),"")</f>
        <v>4</v>
      </c>
      <c r="G30" s="368" t="s">
        <v>244</v>
      </c>
      <c r="H30" s="371" cm="1">
        <f t="array" ref="H30">IFERROR(SUMPRODUCT(SMALL((F5:F13&gt;0)*(F5:F13),COUNTIF(F5:F13,"&lt;"&amp;16))),"")</f>
        <v>8.6816720257234739</v>
      </c>
      <c r="J30" s="377" t="s">
        <v>245</v>
      </c>
      <c r="K30" s="379">
        <f>IFERROR(B30+((D30-16)/(D30-H30))*(F30-B30),"")</f>
        <v>3.8538864197530867</v>
      </c>
      <c r="L30" s="227"/>
      <c r="M30" s="227"/>
      <c r="N30" s="227"/>
      <c r="O30" s="227"/>
    </row>
    <row r="31" spans="1:15" ht="12" customHeight="1">
      <c r="A31" s="367"/>
      <c r="B31" s="369"/>
      <c r="C31" s="369"/>
      <c r="D31" s="372"/>
      <c r="E31" s="375"/>
      <c r="F31" s="369"/>
      <c r="G31" s="369"/>
      <c r="H31" s="372"/>
      <c r="J31" s="378"/>
      <c r="K31" s="380"/>
      <c r="L31" s="227"/>
      <c r="M31" s="227"/>
      <c r="N31" s="227"/>
      <c r="O31" s="227"/>
    </row>
    <row r="32" spans="1:15">
      <c r="L32" s="227"/>
      <c r="M32" s="227"/>
      <c r="N32" s="227"/>
      <c r="O32" s="227"/>
    </row>
    <row r="33" spans="1:15">
      <c r="A33" s="227"/>
      <c r="B33" s="227"/>
      <c r="C33" s="227"/>
      <c r="D33" s="227"/>
      <c r="E33" s="227"/>
      <c r="F33" s="227"/>
      <c r="G33" s="227"/>
      <c r="H33" s="227"/>
      <c r="I33" s="227"/>
      <c r="J33" s="227"/>
      <c r="K33" s="227"/>
      <c r="L33" s="227"/>
      <c r="M33" s="227"/>
      <c r="N33" s="227"/>
      <c r="O33" s="227"/>
    </row>
    <row r="36" spans="1:15" ht="14.5">
      <c r="B36" s="111" t="s">
        <v>26</v>
      </c>
      <c r="C36" s="228">
        <v>137.69999999999999</v>
      </c>
    </row>
    <row r="37" spans="1:15" ht="14.5">
      <c r="B37" s="144" t="s">
        <v>54</v>
      </c>
      <c r="C37" s="162">
        <v>120</v>
      </c>
      <c r="F37" s="194">
        <v>347513</v>
      </c>
    </row>
    <row r="38" spans="1:15" ht="15" thickBot="1">
      <c r="B38" s="157" t="s">
        <v>55</v>
      </c>
      <c r="C38" s="233">
        <f>C36/C37</f>
        <v>1.1475</v>
      </c>
    </row>
    <row r="39" spans="1:15">
      <c r="J39" s="194" t="s">
        <v>246</v>
      </c>
    </row>
    <row r="42" spans="1:15" ht="29">
      <c r="B42" s="65" t="s">
        <v>207</v>
      </c>
      <c r="C42" s="65" t="s">
        <v>26</v>
      </c>
      <c r="D42" s="65" t="s">
        <v>247</v>
      </c>
      <c r="E42" s="234" t="s">
        <v>248</v>
      </c>
      <c r="F42" s="234" t="s">
        <v>215</v>
      </c>
      <c r="G42" s="234" t="s">
        <v>216</v>
      </c>
      <c r="H42" s="234" t="s">
        <v>217</v>
      </c>
    </row>
    <row r="43" spans="1:15" ht="14.5">
      <c r="B43" s="65">
        <v>4.8</v>
      </c>
      <c r="C43" s="94">
        <v>0</v>
      </c>
      <c r="D43" s="183">
        <f t="shared" ref="D43:D52" si="3">C43/$C$53</f>
        <v>0</v>
      </c>
      <c r="E43" s="94">
        <f>C43</f>
        <v>0</v>
      </c>
      <c r="F43" s="235">
        <f>E43</f>
        <v>0</v>
      </c>
      <c r="G43" s="235">
        <f>E48</f>
        <v>244.10000000000002</v>
      </c>
      <c r="H43" s="235">
        <f>E50</f>
        <v>248.8</v>
      </c>
    </row>
    <row r="44" spans="1:15" ht="14.5">
      <c r="B44" s="65">
        <v>4</v>
      </c>
      <c r="C44" s="94">
        <f t="shared" ref="C44:C52" si="4">C6</f>
        <v>21.6</v>
      </c>
      <c r="D44" s="183">
        <f t="shared" si="3"/>
        <v>8.6816720257234734E-2</v>
      </c>
      <c r="E44" s="94">
        <f>SUM(C$43:$C44)</f>
        <v>21.6</v>
      </c>
      <c r="F44" s="397"/>
      <c r="G44" s="398"/>
      <c r="H44" s="399"/>
    </row>
    <row r="45" spans="1:15" ht="14.5">
      <c r="B45" s="65">
        <v>3.36</v>
      </c>
      <c r="C45" s="94">
        <f t="shared" si="4"/>
        <v>81</v>
      </c>
      <c r="D45" s="183">
        <f t="shared" si="3"/>
        <v>0.32556270096463019</v>
      </c>
      <c r="E45" s="94">
        <f>SUM(C$43:$C45)</f>
        <v>102.6</v>
      </c>
      <c r="F45" s="400"/>
      <c r="G45" s="401"/>
      <c r="H45" s="402"/>
    </row>
    <row r="46" spans="1:15" ht="14.5">
      <c r="B46" s="65">
        <v>2.8</v>
      </c>
      <c r="C46" s="94">
        <f t="shared" si="4"/>
        <v>81.900000000000006</v>
      </c>
      <c r="D46" s="183">
        <f t="shared" si="3"/>
        <v>0.32918006430868169</v>
      </c>
      <c r="E46" s="94">
        <f>SUM(C$43:$C46)</f>
        <v>184.5</v>
      </c>
      <c r="F46" s="400"/>
      <c r="G46" s="401"/>
      <c r="H46" s="402"/>
    </row>
    <row r="47" spans="1:15" ht="14.5">
      <c r="B47" s="65">
        <v>2.36</v>
      </c>
      <c r="C47" s="94">
        <f t="shared" si="4"/>
        <v>46.3</v>
      </c>
      <c r="D47" s="183">
        <f t="shared" si="3"/>
        <v>0.18609324758842441</v>
      </c>
      <c r="E47" s="94">
        <f>SUM(C$43:$C47)</f>
        <v>230.8</v>
      </c>
      <c r="F47" s="400"/>
      <c r="G47" s="401"/>
      <c r="H47" s="402"/>
    </row>
    <row r="48" spans="1:15" ht="14.5">
      <c r="B48" s="65">
        <v>2</v>
      </c>
      <c r="C48" s="94">
        <f t="shared" si="4"/>
        <v>13.3</v>
      </c>
      <c r="D48" s="183">
        <f t="shared" si="3"/>
        <v>5.3456591639871383E-2</v>
      </c>
      <c r="E48" s="94">
        <f>SUM(C$43:$C48)</f>
        <v>244.10000000000002</v>
      </c>
      <c r="F48" s="400"/>
      <c r="G48" s="401"/>
      <c r="H48" s="402"/>
    </row>
    <row r="49" spans="2:8" ht="14.5">
      <c r="B49" s="65">
        <v>1.41</v>
      </c>
      <c r="C49" s="94">
        <f t="shared" si="4"/>
        <v>4.7</v>
      </c>
      <c r="D49" s="183">
        <f t="shared" si="3"/>
        <v>1.8890675241157555E-2</v>
      </c>
      <c r="E49" s="94">
        <f>SUM(C$43:$C49)</f>
        <v>248.8</v>
      </c>
      <c r="F49" s="400"/>
      <c r="G49" s="401"/>
      <c r="H49" s="402"/>
    </row>
    <row r="50" spans="2:8" ht="14.5">
      <c r="B50" s="65">
        <v>1</v>
      </c>
      <c r="C50" s="94">
        <f t="shared" si="4"/>
        <v>0</v>
      </c>
      <c r="D50" s="183">
        <f t="shared" si="3"/>
        <v>0</v>
      </c>
      <c r="E50" s="94">
        <f>SUM(C$43:$C50)</f>
        <v>248.8</v>
      </c>
      <c r="F50" s="400"/>
      <c r="G50" s="401"/>
      <c r="H50" s="402"/>
    </row>
    <row r="51" spans="2:8" ht="14.5">
      <c r="B51" s="65">
        <v>0.5</v>
      </c>
      <c r="C51" s="94">
        <f t="shared" si="4"/>
        <v>0</v>
      </c>
      <c r="D51" s="183">
        <f t="shared" si="3"/>
        <v>0</v>
      </c>
      <c r="E51" s="94">
        <f>SUM(C$43:$C51)</f>
        <v>248.8</v>
      </c>
      <c r="F51" s="400"/>
      <c r="G51" s="401"/>
      <c r="H51" s="402"/>
    </row>
    <row r="52" spans="2:8" ht="14.5">
      <c r="B52" s="65" t="s">
        <v>49</v>
      </c>
      <c r="C52" s="94">
        <f t="shared" si="4"/>
        <v>0</v>
      </c>
      <c r="D52" s="183">
        <f t="shared" si="3"/>
        <v>0</v>
      </c>
      <c r="E52" s="94">
        <f>SUM(C$43:$C52)</f>
        <v>248.8</v>
      </c>
      <c r="F52" s="400"/>
      <c r="G52" s="401"/>
      <c r="H52" s="402"/>
    </row>
    <row r="53" spans="2:8" ht="14.5">
      <c r="B53" s="65"/>
      <c r="C53" s="65">
        <f>SUM(C43:C52)</f>
        <v>248.8</v>
      </c>
      <c r="D53" s="65"/>
      <c r="E53" s="65"/>
      <c r="F53" s="403"/>
      <c r="G53" s="404"/>
      <c r="H53" s="405"/>
    </row>
  </sheetData>
  <mergeCells count="48">
    <mergeCell ref="A1:K2"/>
    <mergeCell ref="J9:R9"/>
    <mergeCell ref="L10:R10"/>
    <mergeCell ref="L11:R11"/>
    <mergeCell ref="L12:R12"/>
    <mergeCell ref="A3:A4"/>
    <mergeCell ref="B3:B4"/>
    <mergeCell ref="C3:C4"/>
    <mergeCell ref="D3:D4"/>
    <mergeCell ref="E3:E4"/>
    <mergeCell ref="F3:F4"/>
    <mergeCell ref="G3:G4"/>
    <mergeCell ref="B17:C17"/>
    <mergeCell ref="G26:G27"/>
    <mergeCell ref="H26:H27"/>
    <mergeCell ref="J26:J27"/>
    <mergeCell ref="K26:K27"/>
    <mergeCell ref="B24:B25"/>
    <mergeCell ref="D24:D25"/>
    <mergeCell ref="F24:F25"/>
    <mergeCell ref="H24:H25"/>
    <mergeCell ref="F26:F27"/>
    <mergeCell ref="A28:A29"/>
    <mergeCell ref="B28:B29"/>
    <mergeCell ref="C28:C29"/>
    <mergeCell ref="D28:D29"/>
    <mergeCell ref="E28:E29"/>
    <mergeCell ref="A26:A27"/>
    <mergeCell ref="B26:B27"/>
    <mergeCell ref="C26:C27"/>
    <mergeCell ref="D26:D27"/>
    <mergeCell ref="E26:E27"/>
    <mergeCell ref="A30:A31"/>
    <mergeCell ref="B30:B31"/>
    <mergeCell ref="C30:C31"/>
    <mergeCell ref="D30:D31"/>
    <mergeCell ref="E30:E31"/>
    <mergeCell ref="F44:H53"/>
    <mergeCell ref="G28:G29"/>
    <mergeCell ref="H28:H29"/>
    <mergeCell ref="J28:J29"/>
    <mergeCell ref="K28:K29"/>
    <mergeCell ref="F30:F31"/>
    <mergeCell ref="G30:G31"/>
    <mergeCell ref="H30:H31"/>
    <mergeCell ref="J30:J31"/>
    <mergeCell ref="K30:K31"/>
    <mergeCell ref="F28:F29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opiarEColar">
                <anchor moveWithCells="1" sizeWithCells="1">
                  <from>
                    <xdr:col>12</xdr:col>
                    <xdr:colOff>927100</xdr:colOff>
                    <xdr:row>0</xdr:row>
                    <xdr:rowOff>50800</xdr:rowOff>
                  </from>
                  <to>
                    <xdr:col>14</xdr:col>
                    <xdr:colOff>381000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1E48B-1EFD-4F50-A557-EA0574053105}">
  <sheetPr codeName="Planilha16"/>
  <dimension ref="A1:AD44"/>
  <sheetViews>
    <sheetView showGridLines="0" topLeftCell="C1" zoomScale="130" zoomScaleNormal="130" workbookViewId="0"/>
  </sheetViews>
  <sheetFormatPr defaultRowHeight="14.5"/>
  <cols>
    <col min="1" max="1" width="1.81640625" style="115" hidden="1" customWidth="1"/>
    <col min="2" max="2" width="3" style="115" hidden="1" customWidth="1"/>
    <col min="3" max="3" width="1.6328125" style="115" customWidth="1"/>
    <col min="4" max="4" width="12.7265625" style="115" customWidth="1"/>
    <col min="5" max="5" width="14.36328125" style="115" bestFit="1" customWidth="1"/>
    <col min="6" max="6" width="5.54296875" style="115" customWidth="1"/>
    <col min="7" max="7" width="8.90625" style="115" bestFit="1" customWidth="1"/>
    <col min="8" max="8" width="13.6328125" style="115" bestFit="1" customWidth="1"/>
    <col min="9" max="9" width="8.81640625" style="115" bestFit="1" customWidth="1"/>
    <col min="10" max="10" width="9" style="115" bestFit="1" customWidth="1"/>
    <col min="11" max="11" width="13.6328125" style="115" bestFit="1" customWidth="1"/>
    <col min="12" max="12" width="8.81640625" style="115" bestFit="1" customWidth="1"/>
    <col min="13" max="15" width="8.7265625" style="115"/>
    <col min="16" max="16" width="10.26953125" bestFit="1" customWidth="1"/>
    <col min="17" max="17" width="6.81640625" bestFit="1" customWidth="1"/>
    <col min="18" max="18" width="10.26953125" bestFit="1" customWidth="1"/>
    <col min="26" max="16384" width="8.7265625" style="115"/>
  </cols>
  <sheetData>
    <row r="1" spans="1:30" s="327" customFormat="1">
      <c r="P1"/>
      <c r="Q1"/>
      <c r="R1"/>
      <c r="S1"/>
      <c r="T1"/>
      <c r="U1"/>
      <c r="V1"/>
      <c r="W1"/>
      <c r="X1"/>
      <c r="Y1"/>
      <c r="AD1" s="328"/>
    </row>
    <row r="2" spans="1:30">
      <c r="N2" s="325"/>
      <c r="O2" s="324"/>
    </row>
    <row r="4" spans="1:30" ht="15" thickBot="1"/>
    <row r="5" spans="1:30" ht="15" thickBot="1">
      <c r="D5" s="390" t="s">
        <v>322</v>
      </c>
      <c r="E5" s="391"/>
      <c r="G5" s="351" t="s">
        <v>23</v>
      </c>
      <c r="H5" s="352"/>
      <c r="I5" s="352"/>
      <c r="J5" s="352"/>
      <c r="K5" s="352"/>
      <c r="L5" s="352"/>
      <c r="M5" s="352"/>
      <c r="N5" s="352"/>
      <c r="O5" s="352"/>
      <c r="P5" s="352"/>
      <c r="Q5" s="352"/>
      <c r="R5" s="353"/>
    </row>
    <row r="6" spans="1:30">
      <c r="A6" s="115">
        <v>1</v>
      </c>
      <c r="B6" s="115" t="s">
        <v>320</v>
      </c>
      <c r="D6" s="322" t="s">
        <v>323</v>
      </c>
      <c r="E6" s="323" t="s">
        <v>108</v>
      </c>
      <c r="G6" s="165" t="s">
        <v>24</v>
      </c>
      <c r="H6" s="166" t="s">
        <v>308</v>
      </c>
      <c r="I6" s="167" t="s">
        <v>309</v>
      </c>
      <c r="J6" s="130" t="s">
        <v>310</v>
      </c>
      <c r="K6" s="130" t="s">
        <v>306</v>
      </c>
      <c r="L6" s="130" t="s">
        <v>17</v>
      </c>
      <c r="M6" s="130" t="s">
        <v>8</v>
      </c>
      <c r="N6" s="130" t="s">
        <v>317</v>
      </c>
      <c r="O6" s="130" t="s">
        <v>313</v>
      </c>
      <c r="P6" s="130" t="s">
        <v>314</v>
      </c>
      <c r="Q6" s="130" t="s">
        <v>315</v>
      </c>
      <c r="R6" s="131" t="s">
        <v>318</v>
      </c>
    </row>
    <row r="7" spans="1:30">
      <c r="B7" s="115" t="s">
        <v>321</v>
      </c>
      <c r="D7"/>
      <c r="E7"/>
      <c r="G7" s="116">
        <v>1</v>
      </c>
      <c r="H7" s="65">
        <v>250</v>
      </c>
      <c r="I7" s="65">
        <v>100</v>
      </c>
      <c r="J7" s="117">
        <f>IFERROR(H7/I7,"")</f>
        <v>2.5</v>
      </c>
      <c r="K7" s="65"/>
      <c r="L7" s="94"/>
      <c r="M7" s="65"/>
      <c r="N7" s="123" t="str">
        <f>IFERROR((L7*J7)/(K7)/(M7),"")</f>
        <v/>
      </c>
      <c r="O7" s="65">
        <v>1.5</v>
      </c>
      <c r="P7" s="65"/>
      <c r="Q7" s="123" t="str">
        <f>IFERROR(O7/P7,"")</f>
        <v/>
      </c>
      <c r="R7" s="139" t="str">
        <f>IFERROR(Q7*N7,"")</f>
        <v/>
      </c>
    </row>
    <row r="8" spans="1:30">
      <c r="A8" s="115">
        <v>3</v>
      </c>
      <c r="B8" s="115" t="s">
        <v>107</v>
      </c>
      <c r="D8"/>
      <c r="E8"/>
      <c r="N8"/>
      <c r="O8"/>
    </row>
    <row r="9" spans="1:30">
      <c r="A9" s="115">
        <v>4</v>
      </c>
      <c r="B9" s="115" t="s">
        <v>127</v>
      </c>
      <c r="D9"/>
      <c r="E9"/>
      <c r="N9"/>
      <c r="O9"/>
    </row>
    <row r="10" spans="1:30">
      <c r="A10" s="115">
        <v>5</v>
      </c>
      <c r="B10" s="115" t="s">
        <v>126</v>
      </c>
      <c r="D10"/>
      <c r="E10"/>
      <c r="N10"/>
      <c r="O10"/>
    </row>
    <row r="11" spans="1:30">
      <c r="A11" s="115">
        <v>6</v>
      </c>
      <c r="B11" s="115" t="s">
        <v>108</v>
      </c>
      <c r="D11"/>
      <c r="E11"/>
      <c r="N11"/>
      <c r="O11"/>
    </row>
    <row r="12" spans="1:30">
      <c r="A12" s="115">
        <v>7</v>
      </c>
      <c r="B12" s="115" t="s">
        <v>319</v>
      </c>
      <c r="D12"/>
      <c r="E12"/>
      <c r="N12"/>
      <c r="O12"/>
    </row>
    <row r="13" spans="1:30">
      <c r="A13" s="115">
        <v>8</v>
      </c>
      <c r="D13"/>
      <c r="E13"/>
      <c r="N13"/>
      <c r="O13"/>
    </row>
    <row r="14" spans="1:30">
      <c r="A14" s="115">
        <v>9</v>
      </c>
      <c r="D14"/>
      <c r="E14"/>
      <c r="N14"/>
      <c r="O14"/>
    </row>
    <row r="15" spans="1:30">
      <c r="N15"/>
      <c r="O15"/>
    </row>
    <row r="16" spans="1:30">
      <c r="N16"/>
      <c r="O16"/>
    </row>
    <row r="17" spans="4:15" ht="15" thickBot="1">
      <c r="N17"/>
      <c r="O17"/>
    </row>
    <row r="18" spans="4:15">
      <c r="D18" s="355" t="s">
        <v>25</v>
      </c>
      <c r="E18" s="356"/>
      <c r="F18" s="356"/>
      <c r="G18" s="356"/>
      <c r="H18" s="356"/>
      <c r="I18" s="356"/>
      <c r="J18" s="357"/>
      <c r="N18"/>
      <c r="O18"/>
    </row>
    <row r="19" spans="4:15" ht="15" thickBot="1">
      <c r="D19" s="313" t="s">
        <v>24</v>
      </c>
      <c r="E19" s="314" t="s">
        <v>26</v>
      </c>
      <c r="F19" s="315" t="s">
        <v>27</v>
      </c>
      <c r="G19" s="315" t="s">
        <v>28</v>
      </c>
      <c r="H19" s="315" t="s">
        <v>29</v>
      </c>
      <c r="I19" s="315" t="s">
        <v>68</v>
      </c>
      <c r="J19" s="316" t="s">
        <v>30</v>
      </c>
      <c r="N19"/>
      <c r="O19"/>
    </row>
    <row r="20" spans="4:15">
      <c r="D20" s="116">
        <v>1</v>
      </c>
      <c r="E20" s="66"/>
      <c r="F20" s="66"/>
      <c r="G20" s="66"/>
      <c r="H20" s="329">
        <v>2.6620000000000001E-2</v>
      </c>
      <c r="I20" s="317" t="str">
        <f>IF(E20="","",(E20/250)*F20)</f>
        <v/>
      </c>
      <c r="J20" s="318" t="str">
        <f>IFERROR((H20*G20)/I20,"")</f>
        <v/>
      </c>
      <c r="N20"/>
      <c r="O20"/>
    </row>
    <row r="21" spans="4:15" ht="15" thickBot="1">
      <c r="N21"/>
      <c r="O21"/>
    </row>
    <row r="22" spans="4:15">
      <c r="D22" s="351" t="s">
        <v>23</v>
      </c>
      <c r="E22" s="352"/>
      <c r="F22" s="352"/>
      <c r="G22" s="352"/>
      <c r="H22" s="352"/>
      <c r="I22" s="352"/>
      <c r="J22" s="352"/>
      <c r="K22" s="352"/>
      <c r="L22" s="352"/>
      <c r="M22" s="352"/>
      <c r="N22" s="352"/>
      <c r="O22" s="353"/>
    </row>
    <row r="23" spans="4:15">
      <c r="D23" s="165" t="s">
        <v>24</v>
      </c>
      <c r="E23" s="166" t="s">
        <v>308</v>
      </c>
      <c r="F23" s="167" t="s">
        <v>309</v>
      </c>
      <c r="G23" s="130" t="s">
        <v>310</v>
      </c>
      <c r="H23" s="130" t="s">
        <v>306</v>
      </c>
      <c r="I23" s="130" t="s">
        <v>17</v>
      </c>
      <c r="J23" s="130" t="s">
        <v>8</v>
      </c>
      <c r="K23" s="130" t="s">
        <v>317</v>
      </c>
      <c r="L23" s="130" t="s">
        <v>313</v>
      </c>
      <c r="M23" s="130" t="s">
        <v>314</v>
      </c>
      <c r="N23" s="130" t="s">
        <v>315</v>
      </c>
      <c r="O23" s="131" t="s">
        <v>318</v>
      </c>
    </row>
    <row r="24" spans="4:15">
      <c r="D24" s="116">
        <v>1</v>
      </c>
      <c r="E24" s="65">
        <v>250</v>
      </c>
      <c r="F24" s="65">
        <v>100</v>
      </c>
      <c r="G24" s="117">
        <f>IFERROR(E24/F24,"")</f>
        <v>2.5</v>
      </c>
      <c r="H24" s="65"/>
      <c r="I24" s="94"/>
      <c r="J24" s="65"/>
      <c r="K24" s="123" t="str">
        <f>IFERROR((I24*G24)/(H24)/(J24),"")</f>
        <v/>
      </c>
      <c r="L24" s="65">
        <v>1.5</v>
      </c>
      <c r="M24" s="65"/>
      <c r="N24" s="123" t="str">
        <f>IFERROR(L24/M24,"")</f>
        <v/>
      </c>
      <c r="O24" s="139" t="str">
        <f>IFERROR(N24*K24,"")</f>
        <v/>
      </c>
    </row>
    <row r="25" spans="4:15" ht="15" thickBot="1">
      <c r="N25"/>
      <c r="O25"/>
    </row>
    <row r="26" spans="4:15">
      <c r="D26" s="351" t="s">
        <v>21</v>
      </c>
      <c r="E26" s="352"/>
      <c r="F26" s="352"/>
      <c r="G26" s="352"/>
      <c r="H26" s="352"/>
      <c r="I26" s="353"/>
      <c r="N26"/>
      <c r="O26"/>
    </row>
    <row r="27" spans="4:15">
      <c r="D27" s="129" t="s">
        <v>1</v>
      </c>
      <c r="E27" s="130" t="s">
        <v>8</v>
      </c>
      <c r="F27" s="130" t="s">
        <v>10</v>
      </c>
      <c r="G27" s="130" t="s">
        <v>11</v>
      </c>
      <c r="H27" s="130" t="s">
        <v>12</v>
      </c>
      <c r="I27" s="131" t="s">
        <v>22</v>
      </c>
      <c r="N27"/>
      <c r="O27"/>
    </row>
    <row r="28" spans="4:15">
      <c r="D28" s="116">
        <v>1</v>
      </c>
      <c r="E28" s="251"/>
      <c r="F28" s="161"/>
      <c r="G28" s="251"/>
      <c r="H28" s="252">
        <f>F28-G28</f>
        <v>0</v>
      </c>
      <c r="I28" s="253" t="str">
        <f>IFERROR((H28*13.74)/E28,"")</f>
        <v/>
      </c>
      <c r="N28"/>
      <c r="O28"/>
    </row>
    <row r="29" spans="4:15" ht="15" thickBot="1">
      <c r="N29"/>
      <c r="O29"/>
    </row>
    <row r="30" spans="4:15">
      <c r="D30" s="351" t="s">
        <v>333</v>
      </c>
      <c r="E30" s="352"/>
      <c r="F30" s="352"/>
      <c r="G30" s="352"/>
      <c r="H30" s="352"/>
      <c r="I30" s="352"/>
      <c r="J30" s="353"/>
      <c r="N30"/>
      <c r="O30"/>
    </row>
    <row r="31" spans="4:15">
      <c r="D31" s="129" t="s">
        <v>1</v>
      </c>
      <c r="E31" s="130" t="s">
        <v>8</v>
      </c>
      <c r="F31" s="130" t="s">
        <v>9</v>
      </c>
      <c r="G31" s="130" t="s">
        <v>10</v>
      </c>
      <c r="H31" s="130" t="s">
        <v>11</v>
      </c>
      <c r="I31" s="130" t="s">
        <v>12</v>
      </c>
      <c r="J31" s="131" t="s">
        <v>13</v>
      </c>
      <c r="N31"/>
      <c r="O31"/>
    </row>
    <row r="32" spans="4:15">
      <c r="D32" s="116">
        <v>1</v>
      </c>
      <c r="E32" s="251"/>
      <c r="F32" s="251"/>
      <c r="G32" s="161"/>
      <c r="H32" s="161"/>
      <c r="I32" s="252">
        <f>G32-H32</f>
        <v>0</v>
      </c>
      <c r="J32" s="253" t="str">
        <f>IFERROR((I32*3.207)/(E32/250*F32),"")</f>
        <v/>
      </c>
      <c r="N32"/>
      <c r="O32"/>
    </row>
    <row r="33" spans="4:15" ht="15" thickBot="1">
      <c r="N33"/>
      <c r="O33"/>
    </row>
    <row r="34" spans="4:15">
      <c r="D34" s="351" t="s">
        <v>307</v>
      </c>
      <c r="E34" s="352"/>
      <c r="F34" s="352"/>
      <c r="G34" s="352"/>
      <c r="H34" s="352"/>
      <c r="I34" s="352"/>
      <c r="J34" s="353"/>
    </row>
    <row r="35" spans="4:15">
      <c r="D35" s="129" t="s">
        <v>1</v>
      </c>
      <c r="E35" s="130" t="s">
        <v>8</v>
      </c>
      <c r="F35" s="130" t="s">
        <v>15</v>
      </c>
      <c r="G35" s="130" t="s">
        <v>16</v>
      </c>
      <c r="H35" s="130" t="s">
        <v>9</v>
      </c>
      <c r="I35" s="130" t="s">
        <v>17</v>
      </c>
      <c r="J35" s="131" t="s">
        <v>18</v>
      </c>
    </row>
    <row r="36" spans="4:15">
      <c r="D36" s="116">
        <v>1</v>
      </c>
      <c r="E36" s="65"/>
      <c r="F36" s="65">
        <v>250</v>
      </c>
      <c r="G36" s="65">
        <v>100</v>
      </c>
      <c r="H36" s="65"/>
      <c r="I36" s="331"/>
      <c r="J36" s="256" t="str">
        <f>IF(E36="","",((I36*(F36*G36)*POWER(10,-4))/(H36*E36))*1.205)</f>
        <v/>
      </c>
    </row>
    <row r="37" spans="4:15" ht="15" thickBot="1"/>
    <row r="38" spans="4:15">
      <c r="D38" s="351" t="s">
        <v>181</v>
      </c>
      <c r="E38" s="352"/>
      <c r="F38" s="352"/>
      <c r="G38" s="352"/>
      <c r="H38" s="352"/>
      <c r="I38" s="352"/>
      <c r="J38" s="353"/>
    </row>
    <row r="39" spans="4:15">
      <c r="D39" s="129" t="s">
        <v>1</v>
      </c>
      <c r="E39" s="130" t="s">
        <v>8</v>
      </c>
      <c r="F39" s="130" t="s">
        <v>3</v>
      </c>
      <c r="G39" s="130" t="s">
        <v>306</v>
      </c>
      <c r="H39" s="130" t="s">
        <v>305</v>
      </c>
      <c r="I39" s="130" t="s">
        <v>5</v>
      </c>
      <c r="J39" s="131" t="s">
        <v>6</v>
      </c>
    </row>
    <row r="40" spans="4:15">
      <c r="D40" s="116">
        <v>1</v>
      </c>
      <c r="E40" s="65"/>
      <c r="F40" s="65"/>
      <c r="G40" s="65">
        <v>5</v>
      </c>
      <c r="H40" s="117">
        <v>2.5600000000000001E-2</v>
      </c>
      <c r="I40" s="117">
        <v>2.8014000000000001</v>
      </c>
      <c r="J40" s="256" t="str">
        <f>IFERROR((F40*H40*I40*250)/(E40*G40),"")</f>
        <v/>
      </c>
    </row>
    <row r="41" spans="4:15" ht="15" thickBot="1"/>
    <row r="42" spans="4:15">
      <c r="D42" s="351" t="s">
        <v>180</v>
      </c>
      <c r="E42" s="352"/>
      <c r="F42" s="352"/>
      <c r="G42" s="352"/>
      <c r="H42" s="352"/>
      <c r="I42" s="353"/>
    </row>
    <row r="43" spans="4:15">
      <c r="D43" s="129" t="s">
        <v>1</v>
      </c>
      <c r="E43" s="130" t="s">
        <v>8</v>
      </c>
      <c r="F43" s="130" t="s">
        <v>3</v>
      </c>
      <c r="G43" s="130" t="s">
        <v>305</v>
      </c>
      <c r="H43" s="130" t="s">
        <v>5</v>
      </c>
      <c r="I43" s="131" t="s">
        <v>6</v>
      </c>
    </row>
    <row r="44" spans="4:15">
      <c r="D44" s="116">
        <v>1</v>
      </c>
      <c r="E44" s="65"/>
      <c r="F44" s="65"/>
      <c r="G44" s="117">
        <v>0.49930000000000002</v>
      </c>
      <c r="H44" s="65">
        <v>1.4</v>
      </c>
      <c r="I44" s="117" t="str">
        <f>IFERROR((F44*G44*H44)/E44,"")</f>
        <v/>
      </c>
    </row>
  </sheetData>
  <mergeCells count="9">
    <mergeCell ref="D38:J38"/>
    <mergeCell ref="D42:I42"/>
    <mergeCell ref="D5:E5"/>
    <mergeCell ref="D18:J18"/>
    <mergeCell ref="D22:O22"/>
    <mergeCell ref="D26:I26"/>
    <mergeCell ref="D30:J30"/>
    <mergeCell ref="D34:J34"/>
    <mergeCell ref="G5:R5"/>
  </mergeCells>
  <conditionalFormatting sqref="D20:J20">
    <cfRule type="expression" dxfId="7" priority="73">
      <formula>IF($B20=$K$5,TRUE,FALSE)</formula>
    </cfRule>
  </conditionalFormatting>
  <conditionalFormatting sqref="D28:I28">
    <cfRule type="expression" dxfId="6" priority="71">
      <formula>IF($B28=$J$5,TRUE,FALSE)</formula>
    </cfRule>
  </conditionalFormatting>
  <conditionalFormatting sqref="D32:J32">
    <cfRule type="expression" dxfId="5" priority="70">
      <formula>IF($B32=$K$5,TRUE,FALSE)</formula>
    </cfRule>
  </conditionalFormatting>
  <conditionalFormatting sqref="D36:J36">
    <cfRule type="expression" dxfId="4" priority="69">
      <formula>IF($B36=$K$5,TRUE,FALSE)</formula>
    </cfRule>
  </conditionalFormatting>
  <conditionalFormatting sqref="D24:O24">
    <cfRule type="expression" dxfId="3" priority="74">
      <formula>IF($B24=$P$5,TRUE,FALSE)</formula>
    </cfRule>
  </conditionalFormatting>
  <conditionalFormatting sqref="D44:I44">
    <cfRule type="expression" dxfId="2" priority="30">
      <formula>IF($B44=$K$5,TRUE,FALSE)</formula>
    </cfRule>
  </conditionalFormatting>
  <conditionalFormatting sqref="D40:J40">
    <cfRule type="expression" dxfId="1" priority="29">
      <formula>IF($B40=$K$5,TRUE,FALSE)</formula>
    </cfRule>
  </conditionalFormatting>
  <conditionalFormatting sqref="G7:R7">
    <cfRule type="expression" dxfId="0" priority="6">
      <formula>IF($B7=$P$5,TRUE,FALSE)</formula>
    </cfRule>
  </conditionalFormatting>
  <dataValidations count="1">
    <dataValidation type="list" allowBlank="1" showInputMessage="1" showErrorMessage="1" sqref="E6" xr:uid="{7728CF75-B16A-495A-B152-F6E472C2AFAA}">
      <formula1>$B$6:$B$12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9" r:id="rId3" name="Button 9">
              <controlPr defaultSize="0" print="0" autoFill="0" autoPict="0" macro="[0]!Alternador_de_fórmulas">
                <anchor moveWithCells="1" sizeWithCells="1">
                  <from>
                    <xdr:col>2</xdr:col>
                    <xdr:colOff>292100</xdr:colOff>
                    <xdr:row>2</xdr:row>
                    <xdr:rowOff>6350</xdr:rowOff>
                  </from>
                  <to>
                    <xdr:col>5</xdr:col>
                    <xdr:colOff>12700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6DCE8-DA49-485F-B039-D5D70370D2FA}">
  <sheetPr codeName="Planilha8"/>
  <dimension ref="B2:Z47"/>
  <sheetViews>
    <sheetView showGridLines="0" zoomScale="85" zoomScaleNormal="85" workbookViewId="0"/>
  </sheetViews>
  <sheetFormatPr defaultRowHeight="14.5"/>
  <cols>
    <col min="1" max="1" width="4.81640625" style="115" customWidth="1"/>
    <col min="2" max="2" width="12.1796875" style="115" customWidth="1"/>
    <col min="3" max="4" width="10.81640625" style="115" customWidth="1"/>
    <col min="5" max="5" width="4.81640625" style="115" customWidth="1"/>
    <col min="6" max="8" width="8.7265625" style="115"/>
    <col min="9" max="9" width="4.81640625" style="115" customWidth="1"/>
    <col min="10" max="12" width="9.1796875" style="115"/>
    <col min="13" max="13" width="4.81640625" style="115" customWidth="1"/>
    <col min="14" max="16" width="9.1796875" style="115"/>
    <col min="17" max="17" width="4.81640625" style="115" customWidth="1"/>
    <col min="18" max="20" width="9.1796875" style="115"/>
    <col min="21" max="21" width="4.81640625" style="115" customWidth="1"/>
    <col min="22" max="24" width="9.1796875" style="115"/>
    <col min="25" max="16384" width="8.7265625" style="115"/>
  </cols>
  <sheetData>
    <row r="2" spans="2:24" ht="15" thickBot="1"/>
    <row r="3" spans="2:24" ht="15" thickBot="1">
      <c r="B3" s="413" t="s">
        <v>31</v>
      </c>
      <c r="C3" s="414"/>
      <c r="D3" s="415"/>
      <c r="F3" s="410" t="s">
        <v>32</v>
      </c>
      <c r="G3" s="411"/>
      <c r="H3" s="412"/>
      <c r="J3" s="407" t="s">
        <v>33</v>
      </c>
      <c r="K3" s="408"/>
      <c r="L3" s="409"/>
      <c r="N3" s="410" t="s">
        <v>34</v>
      </c>
      <c r="O3" s="411"/>
      <c r="P3" s="412"/>
      <c r="R3" s="410" t="s">
        <v>35</v>
      </c>
      <c r="S3" s="411"/>
      <c r="T3" s="412"/>
      <c r="V3" s="410" t="s">
        <v>36</v>
      </c>
      <c r="W3" s="411"/>
      <c r="X3" s="412"/>
    </row>
    <row r="4" spans="2:24" ht="15" thickBot="1">
      <c r="B4" s="129" t="s">
        <v>37</v>
      </c>
      <c r="C4" s="130" t="s">
        <v>2</v>
      </c>
      <c r="D4" s="131" t="s">
        <v>38</v>
      </c>
      <c r="F4" s="269" t="s">
        <v>37</v>
      </c>
      <c r="G4" s="288" t="s">
        <v>2</v>
      </c>
      <c r="H4" s="145" t="s">
        <v>38</v>
      </c>
      <c r="J4" s="141" t="s">
        <v>37</v>
      </c>
      <c r="K4" s="145" t="s">
        <v>2</v>
      </c>
      <c r="L4" s="146" t="s">
        <v>38</v>
      </c>
      <c r="N4" s="141" t="s">
        <v>37</v>
      </c>
      <c r="O4" s="145" t="s">
        <v>2</v>
      </c>
      <c r="P4" s="146" t="s">
        <v>38</v>
      </c>
      <c r="R4" s="141" t="s">
        <v>37</v>
      </c>
      <c r="S4" s="145" t="s">
        <v>2</v>
      </c>
      <c r="T4" s="146" t="s">
        <v>38</v>
      </c>
      <c r="V4" s="141" t="s">
        <v>37</v>
      </c>
      <c r="W4" s="145" t="s">
        <v>2</v>
      </c>
      <c r="X4" s="146" t="s">
        <v>38</v>
      </c>
    </row>
    <row r="5" spans="2:24">
      <c r="B5" s="160" t="s">
        <v>39</v>
      </c>
      <c r="C5" s="161">
        <v>2.2000000000000002</v>
      </c>
      <c r="D5" s="289">
        <f t="shared" ref="D5:D10" si="0">C5/$C$11</f>
        <v>1.928133216476775E-2</v>
      </c>
      <c r="F5" s="142" t="s">
        <v>39</v>
      </c>
      <c r="G5" s="143">
        <v>0</v>
      </c>
      <c r="H5" s="290">
        <f>G5/$G$13</f>
        <v>0</v>
      </c>
      <c r="J5" s="142" t="s">
        <v>192</v>
      </c>
      <c r="K5" s="143">
        <v>0</v>
      </c>
      <c r="L5" s="147">
        <f t="shared" ref="L5:L16" si="1">K5/$K$17</f>
        <v>0</v>
      </c>
      <c r="N5" s="142" t="s">
        <v>39</v>
      </c>
      <c r="O5" s="143">
        <v>0</v>
      </c>
      <c r="P5" s="147">
        <f>O5/$O$13</f>
        <v>0</v>
      </c>
      <c r="R5" s="142" t="s">
        <v>39</v>
      </c>
      <c r="S5" s="143">
        <v>0</v>
      </c>
      <c r="T5" s="147">
        <f>S5/$S$12</f>
        <v>0</v>
      </c>
      <c r="V5" s="142" t="s">
        <v>39</v>
      </c>
      <c r="W5" s="143">
        <v>2.8</v>
      </c>
      <c r="X5" s="147">
        <f>W5/$W$15</f>
        <v>2.1308980213089801E-2</v>
      </c>
    </row>
    <row r="6" spans="2:24">
      <c r="B6" s="144" t="s">
        <v>40</v>
      </c>
      <c r="C6" s="133">
        <v>110.6</v>
      </c>
      <c r="D6" s="291">
        <f t="shared" si="0"/>
        <v>0.96932515337423308</v>
      </c>
      <c r="E6" s="115">
        <v>5.8</v>
      </c>
      <c r="F6" s="292" t="s">
        <v>41</v>
      </c>
      <c r="G6" s="293">
        <v>0</v>
      </c>
      <c r="H6" s="294">
        <f t="shared" ref="H6:H11" si="2">G6/$G$13</f>
        <v>0</v>
      </c>
      <c r="J6" s="142" t="s">
        <v>39</v>
      </c>
      <c r="K6" s="143">
        <v>0.3</v>
      </c>
      <c r="L6" s="147">
        <f t="shared" si="1"/>
        <v>1.2884937508053087E-3</v>
      </c>
      <c r="N6" s="144" t="s">
        <v>40</v>
      </c>
      <c r="O6" s="133">
        <v>0</v>
      </c>
      <c r="P6" s="148">
        <f t="shared" ref="P6:P12" si="3">O6/$O$13</f>
        <v>0</v>
      </c>
      <c r="R6" s="144" t="s">
        <v>40</v>
      </c>
      <c r="S6" s="133">
        <v>0</v>
      </c>
      <c r="T6" s="148">
        <f t="shared" ref="T6:T11" si="4">S6/$S$12</f>
        <v>0</v>
      </c>
      <c r="V6" s="144" t="s">
        <v>42</v>
      </c>
      <c r="W6" s="133">
        <v>1.7</v>
      </c>
      <c r="X6" s="148">
        <f t="shared" ref="X6:X14" si="5">W6/$W$15</f>
        <v>1.2937595129375951E-2</v>
      </c>
    </row>
    <row r="7" spans="2:24">
      <c r="B7" s="160" t="s">
        <v>43</v>
      </c>
      <c r="C7" s="161">
        <v>1.3</v>
      </c>
      <c r="D7" s="289">
        <f t="shared" si="0"/>
        <v>1.1393514460999125E-2</v>
      </c>
      <c r="E7" s="115">
        <v>93.51</v>
      </c>
      <c r="F7" s="142" t="s">
        <v>44</v>
      </c>
      <c r="G7" s="143">
        <v>10</v>
      </c>
      <c r="H7" s="290">
        <f t="shared" si="2"/>
        <v>4.4762757385854966E-2</v>
      </c>
      <c r="J7" s="142" t="s">
        <v>41</v>
      </c>
      <c r="K7" s="143">
        <v>0.9</v>
      </c>
      <c r="L7" s="147">
        <f t="shared" si="1"/>
        <v>3.8654812524159263E-3</v>
      </c>
      <c r="N7" s="142" t="s">
        <v>45</v>
      </c>
      <c r="O7" s="143">
        <v>5.2</v>
      </c>
      <c r="P7" s="147">
        <f t="shared" si="3"/>
        <v>4.0656763096168884E-2</v>
      </c>
      <c r="R7" s="142" t="s">
        <v>45</v>
      </c>
      <c r="S7" s="143">
        <v>0</v>
      </c>
      <c r="T7" s="147">
        <f t="shared" si="4"/>
        <v>0</v>
      </c>
      <c r="V7" s="142" t="s">
        <v>40</v>
      </c>
      <c r="W7" s="143">
        <v>10.5</v>
      </c>
      <c r="X7" s="147">
        <f t="shared" si="5"/>
        <v>7.9908675799086754E-2</v>
      </c>
    </row>
    <row r="8" spans="2:24">
      <c r="B8" s="144" t="s">
        <v>46</v>
      </c>
      <c r="C8" s="133">
        <v>0</v>
      </c>
      <c r="D8" s="291">
        <f t="shared" si="0"/>
        <v>0</v>
      </c>
      <c r="E8" s="115">
        <v>0.69</v>
      </c>
      <c r="F8" s="292" t="s">
        <v>40</v>
      </c>
      <c r="G8" s="293">
        <v>30</v>
      </c>
      <c r="H8" s="294">
        <f t="shared" si="2"/>
        <v>0.13428827215756489</v>
      </c>
      <c r="J8" s="144" t="s">
        <v>42</v>
      </c>
      <c r="K8" s="133">
        <v>2.8</v>
      </c>
      <c r="L8" s="148">
        <f t="shared" si="1"/>
        <v>1.202594167418288E-2</v>
      </c>
      <c r="N8" s="144" t="s">
        <v>43</v>
      </c>
      <c r="O8" s="133">
        <v>76.400000000000006</v>
      </c>
      <c r="P8" s="148">
        <f t="shared" si="3"/>
        <v>0.59734167318217357</v>
      </c>
      <c r="R8" s="144" t="s">
        <v>43</v>
      </c>
      <c r="S8" s="133">
        <v>0.9</v>
      </c>
      <c r="T8" s="148">
        <f t="shared" si="4"/>
        <v>5.408653846153846E-3</v>
      </c>
      <c r="V8" s="144" t="s">
        <v>47</v>
      </c>
      <c r="W8" s="133">
        <v>61.7</v>
      </c>
      <c r="X8" s="148">
        <f t="shared" si="5"/>
        <v>0.469558599695586</v>
      </c>
    </row>
    <row r="9" spans="2:24">
      <c r="B9" s="160" t="s">
        <v>48</v>
      </c>
      <c r="C9" s="161">
        <v>0</v>
      </c>
      <c r="D9" s="289">
        <f t="shared" si="0"/>
        <v>0</v>
      </c>
      <c r="F9" s="142" t="s">
        <v>43</v>
      </c>
      <c r="G9" s="143">
        <v>180</v>
      </c>
      <c r="H9" s="290">
        <f t="shared" si="2"/>
        <v>0.80572963294538946</v>
      </c>
      <c r="J9" s="142" t="s">
        <v>40</v>
      </c>
      <c r="K9" s="143">
        <v>12.63</v>
      </c>
      <c r="L9" s="147">
        <f t="shared" si="1"/>
        <v>5.4245586908903499E-2</v>
      </c>
      <c r="N9" s="142" t="s">
        <v>46</v>
      </c>
      <c r="O9" s="143">
        <v>43.5</v>
      </c>
      <c r="P9" s="147">
        <f t="shared" si="3"/>
        <v>0.34010946051602814</v>
      </c>
      <c r="R9" s="142" t="s">
        <v>46</v>
      </c>
      <c r="S9" s="143">
        <v>65.3</v>
      </c>
      <c r="T9" s="147">
        <f t="shared" si="4"/>
        <v>0.39242788461538458</v>
      </c>
      <c r="V9" s="142" t="s">
        <v>45</v>
      </c>
      <c r="W9" s="143">
        <v>38.5</v>
      </c>
      <c r="X9" s="147">
        <f t="shared" si="5"/>
        <v>0.29299847792998479</v>
      </c>
    </row>
    <row r="10" spans="2:24">
      <c r="B10" s="144" t="s">
        <v>49</v>
      </c>
      <c r="C10" s="133">
        <v>0</v>
      </c>
      <c r="D10" s="291">
        <f t="shared" si="0"/>
        <v>0</v>
      </c>
      <c r="F10" s="292" t="s">
        <v>46</v>
      </c>
      <c r="G10" s="293">
        <v>1.4</v>
      </c>
      <c r="H10" s="294">
        <f t="shared" si="2"/>
        <v>6.2667860340196949E-3</v>
      </c>
      <c r="J10" s="144" t="s">
        <v>47</v>
      </c>
      <c r="K10" s="133">
        <v>82.4</v>
      </c>
      <c r="L10" s="148">
        <f t="shared" si="1"/>
        <v>0.3539062835545248</v>
      </c>
      <c r="N10" s="144" t="s">
        <v>50</v>
      </c>
      <c r="O10" s="133">
        <v>1</v>
      </c>
      <c r="P10" s="148">
        <f t="shared" si="3"/>
        <v>7.8186082877247844E-3</v>
      </c>
      <c r="R10" s="144" t="s">
        <v>48</v>
      </c>
      <c r="S10" s="133">
        <v>56.2</v>
      </c>
      <c r="T10" s="148">
        <f t="shared" si="4"/>
        <v>0.33774038461538464</v>
      </c>
      <c r="V10" s="144" t="s">
        <v>43</v>
      </c>
      <c r="W10" s="133">
        <v>16.100000000000001</v>
      </c>
      <c r="X10" s="148">
        <f t="shared" si="5"/>
        <v>0.12252663622526637</v>
      </c>
    </row>
    <row r="11" spans="2:24" ht="15" thickBot="1">
      <c r="B11" s="157" t="s">
        <v>51</v>
      </c>
      <c r="C11" s="158">
        <f>SUM(C5:C10)</f>
        <v>114.1</v>
      </c>
      <c r="D11" s="295">
        <f>SUM(D5:D10)</f>
        <v>1</v>
      </c>
      <c r="F11" s="142" t="s">
        <v>48</v>
      </c>
      <c r="G11" s="143">
        <v>0</v>
      </c>
      <c r="H11" s="290">
        <f t="shared" si="2"/>
        <v>0</v>
      </c>
      <c r="J11" s="142" t="s">
        <v>45</v>
      </c>
      <c r="K11" s="143">
        <v>53.3</v>
      </c>
      <c r="L11" s="147">
        <f t="shared" si="1"/>
        <v>0.22892238972640983</v>
      </c>
      <c r="N11" s="142" t="s">
        <v>48</v>
      </c>
      <c r="O11" s="143">
        <v>1.3</v>
      </c>
      <c r="P11" s="147">
        <f t="shared" si="3"/>
        <v>1.0164190774042221E-2</v>
      </c>
      <c r="R11" s="142" t="s">
        <v>49</v>
      </c>
      <c r="S11" s="143">
        <v>44</v>
      </c>
      <c r="T11" s="147">
        <f t="shared" si="4"/>
        <v>0.26442307692307693</v>
      </c>
      <c r="V11" s="142" t="s">
        <v>52</v>
      </c>
      <c r="W11" s="143">
        <v>0.1</v>
      </c>
      <c r="X11" s="147">
        <f t="shared" si="5"/>
        <v>7.6103500761035003E-4</v>
      </c>
    </row>
    <row r="12" spans="2:24">
      <c r="F12" s="292" t="s">
        <v>49</v>
      </c>
      <c r="G12" s="293">
        <v>2</v>
      </c>
      <c r="H12" s="294">
        <f>G12/$G$13</f>
        <v>8.9525514771709933E-3</v>
      </c>
      <c r="J12" s="144" t="s">
        <v>43</v>
      </c>
      <c r="K12" s="133">
        <v>69.8</v>
      </c>
      <c r="L12" s="148">
        <f t="shared" si="1"/>
        <v>0.29978954602070179</v>
      </c>
      <c r="N12" s="144" t="s">
        <v>49</v>
      </c>
      <c r="O12" s="133">
        <v>0.5</v>
      </c>
      <c r="P12" s="148">
        <f t="shared" si="3"/>
        <v>3.9093041438623922E-3</v>
      </c>
      <c r="R12" s="129" t="s">
        <v>51</v>
      </c>
      <c r="S12" s="155">
        <f>SUM(S5:S11)</f>
        <v>166.4</v>
      </c>
      <c r="T12" s="156">
        <f>SUM(T5:T11)</f>
        <v>1</v>
      </c>
      <c r="V12" s="144" t="s">
        <v>46</v>
      </c>
      <c r="W12" s="133">
        <v>0</v>
      </c>
      <c r="X12" s="148">
        <f t="shared" si="5"/>
        <v>0</v>
      </c>
    </row>
    <row r="13" spans="2:24" ht="15" thickBot="1">
      <c r="F13" s="152" t="s">
        <v>51</v>
      </c>
      <c r="G13" s="153">
        <f>SUM(G5:G12)</f>
        <v>223.4</v>
      </c>
      <c r="H13" s="296">
        <f>SUM(H5:H12)</f>
        <v>1</v>
      </c>
      <c r="J13" s="142" t="s">
        <v>52</v>
      </c>
      <c r="K13" s="143">
        <v>8.3000000000000007</v>
      </c>
      <c r="L13" s="147">
        <f t="shared" si="1"/>
        <v>3.5648327105613546E-2</v>
      </c>
      <c r="N13" s="152" t="s">
        <v>51</v>
      </c>
      <c r="O13" s="153">
        <f>SUM(O5:O12)</f>
        <v>127.9</v>
      </c>
      <c r="P13" s="154">
        <f>SUM(P5:P12)</f>
        <v>0.99999999999999989</v>
      </c>
      <c r="V13" s="142" t="s">
        <v>48</v>
      </c>
      <c r="W13" s="143">
        <v>0</v>
      </c>
      <c r="X13" s="147">
        <f t="shared" si="5"/>
        <v>0</v>
      </c>
    </row>
    <row r="14" spans="2:24">
      <c r="J14" s="144" t="s">
        <v>46</v>
      </c>
      <c r="K14" s="133">
        <v>2.1</v>
      </c>
      <c r="L14" s="148">
        <f t="shared" si="1"/>
        <v>9.0194562556371611E-3</v>
      </c>
      <c r="V14" s="144" t="s">
        <v>49</v>
      </c>
      <c r="W14" s="133">
        <v>0</v>
      </c>
      <c r="X14" s="148">
        <f t="shared" si="5"/>
        <v>0</v>
      </c>
    </row>
    <row r="15" spans="2:24" ht="15" thickBot="1">
      <c r="J15" s="142" t="s">
        <v>48</v>
      </c>
      <c r="K15" s="143">
        <v>0.2</v>
      </c>
      <c r="L15" s="147">
        <f t="shared" si="1"/>
        <v>8.5899583387020583E-4</v>
      </c>
      <c r="V15" s="157" t="s">
        <v>51</v>
      </c>
      <c r="W15" s="158">
        <f>(SUM(W5:W14))</f>
        <v>131.4</v>
      </c>
      <c r="X15" s="159">
        <f>SUM(X5:X14)</f>
        <v>1</v>
      </c>
    </row>
    <row r="16" spans="2:24">
      <c r="B16" s="351" t="s">
        <v>53</v>
      </c>
      <c r="C16" s="353"/>
      <c r="J16" s="144" t="s">
        <v>49</v>
      </c>
      <c r="K16" s="133">
        <v>0.1</v>
      </c>
      <c r="L16" s="148">
        <f t="shared" si="1"/>
        <v>4.2949791693510292E-4</v>
      </c>
    </row>
    <row r="17" spans="2:26" ht="15" thickBot="1">
      <c r="B17" s="111" t="s">
        <v>26</v>
      </c>
      <c r="C17" s="112">
        <v>137</v>
      </c>
      <c r="J17" s="152" t="s">
        <v>51</v>
      </c>
      <c r="K17" s="153">
        <f>(SUM(K5:K16))</f>
        <v>232.82999999999998</v>
      </c>
      <c r="L17" s="154">
        <f>SUM(L5:L16)</f>
        <v>1</v>
      </c>
    </row>
    <row r="18" spans="2:26">
      <c r="B18" s="144" t="s">
        <v>54</v>
      </c>
      <c r="C18" s="162">
        <v>170</v>
      </c>
    </row>
    <row r="19" spans="2:26" ht="15" thickBot="1">
      <c r="B19" s="157" t="s">
        <v>55</v>
      </c>
      <c r="C19" s="185">
        <f>IFERROR(C17/C18,"")</f>
        <v>0.80588235294117649</v>
      </c>
    </row>
    <row r="22" spans="2:26" ht="15" thickBot="1"/>
    <row r="23" spans="2:26" ht="15" thickBot="1">
      <c r="O23" s="407" t="s">
        <v>195</v>
      </c>
      <c r="P23" s="408"/>
      <c r="Q23" s="409"/>
    </row>
    <row r="24" spans="2:26" ht="15" thickBot="1">
      <c r="O24" s="141" t="s">
        <v>37</v>
      </c>
      <c r="P24" s="145" t="s">
        <v>2</v>
      </c>
      <c r="Q24" s="146" t="s">
        <v>38</v>
      </c>
      <c r="V24" s="186"/>
      <c r="W24" s="186"/>
      <c r="X24" s="186"/>
      <c r="Y24" s="186"/>
      <c r="Z24" s="186"/>
    </row>
    <row r="25" spans="2:26">
      <c r="O25" s="142" t="s">
        <v>39</v>
      </c>
      <c r="P25" s="143">
        <v>0.1</v>
      </c>
      <c r="Q25" s="147">
        <f>P25/$P$36</f>
        <v>6.0132291040288638E-4</v>
      </c>
      <c r="V25" s="186"/>
      <c r="W25" s="186"/>
      <c r="X25" s="186"/>
      <c r="Y25" s="186"/>
      <c r="Z25" s="186"/>
    </row>
    <row r="26" spans="2:26">
      <c r="O26" s="142" t="s">
        <v>41</v>
      </c>
      <c r="P26" s="143">
        <v>1</v>
      </c>
      <c r="Q26" s="147">
        <f t="shared" ref="Q26:Q35" si="6">P26/$P$36</f>
        <v>6.0132291040288629E-3</v>
      </c>
      <c r="V26" s="186"/>
      <c r="W26" s="186"/>
      <c r="X26" s="186"/>
      <c r="Y26" s="186"/>
      <c r="Z26" s="186"/>
    </row>
    <row r="27" spans="2:26">
      <c r="O27" s="142" t="s">
        <v>193</v>
      </c>
      <c r="P27" s="143">
        <v>4.0999999999999996</v>
      </c>
      <c r="Q27" s="147">
        <f t="shared" si="6"/>
        <v>2.4654239326518338E-2</v>
      </c>
      <c r="V27" s="186"/>
      <c r="W27" s="186"/>
      <c r="X27" s="186"/>
      <c r="Y27" s="186"/>
      <c r="Z27" s="186"/>
    </row>
    <row r="28" spans="2:26">
      <c r="O28" s="144" t="s">
        <v>40</v>
      </c>
      <c r="P28" s="133">
        <v>12.3</v>
      </c>
      <c r="Q28" s="147">
        <f t="shared" si="6"/>
        <v>7.3962717979555018E-2</v>
      </c>
      <c r="V28" s="186"/>
      <c r="W28" s="186"/>
      <c r="X28" s="186"/>
      <c r="Y28" s="186"/>
      <c r="Z28" s="186"/>
    </row>
    <row r="29" spans="2:26">
      <c r="O29" s="142" t="s">
        <v>45</v>
      </c>
      <c r="P29" s="143">
        <v>123.7</v>
      </c>
      <c r="Q29" s="147">
        <f t="shared" si="6"/>
        <v>0.74383644016837036</v>
      </c>
      <c r="V29" s="186"/>
      <c r="W29" s="186"/>
      <c r="X29" s="186"/>
      <c r="Y29" s="186"/>
      <c r="Z29" s="186"/>
    </row>
    <row r="30" spans="2:26">
      <c r="O30" s="144" t="s">
        <v>43</v>
      </c>
      <c r="P30" s="133">
        <v>22.4</v>
      </c>
      <c r="Q30" s="147">
        <f t="shared" si="6"/>
        <v>0.13469633193024652</v>
      </c>
      <c r="V30" s="186"/>
      <c r="W30" s="186"/>
      <c r="X30" s="186"/>
      <c r="Y30" s="186"/>
      <c r="Z30" s="186"/>
    </row>
    <row r="31" spans="2:26">
      <c r="O31" s="142" t="s">
        <v>52</v>
      </c>
      <c r="P31" s="143">
        <v>1.9</v>
      </c>
      <c r="Q31" s="147">
        <f t="shared" si="6"/>
        <v>1.1425135297654839E-2</v>
      </c>
      <c r="V31" s="186"/>
      <c r="W31" s="186"/>
      <c r="X31" s="186"/>
      <c r="Y31" s="186"/>
      <c r="Z31" s="186"/>
    </row>
    <row r="32" spans="2:26">
      <c r="O32" s="144" t="s">
        <v>46</v>
      </c>
      <c r="P32" s="133">
        <v>0.8</v>
      </c>
      <c r="Q32" s="147">
        <f t="shared" si="6"/>
        <v>4.810583283223091E-3</v>
      </c>
      <c r="V32" s="186"/>
      <c r="W32" s="186"/>
      <c r="X32" s="186"/>
      <c r="Y32" s="186"/>
      <c r="Z32" s="186"/>
    </row>
    <row r="33" spans="15:26">
      <c r="O33" s="142" t="s">
        <v>194</v>
      </c>
      <c r="P33" s="143">
        <v>0</v>
      </c>
      <c r="Q33" s="147">
        <f t="shared" si="6"/>
        <v>0</v>
      </c>
      <c r="V33" s="186"/>
      <c r="W33" s="186"/>
      <c r="X33" s="186"/>
      <c r="Y33" s="186"/>
      <c r="Z33" s="186"/>
    </row>
    <row r="34" spans="15:26">
      <c r="O34" s="144" t="s">
        <v>48</v>
      </c>
      <c r="P34" s="133">
        <v>0</v>
      </c>
      <c r="Q34" s="147">
        <f t="shared" si="6"/>
        <v>0</v>
      </c>
      <c r="V34" s="186"/>
      <c r="W34" s="186"/>
      <c r="X34" s="186"/>
      <c r="Y34" s="186"/>
      <c r="Z34" s="186"/>
    </row>
    <row r="35" spans="15:26">
      <c r="O35" s="142" t="s">
        <v>49</v>
      </c>
      <c r="P35" s="143">
        <v>0</v>
      </c>
      <c r="Q35" s="147">
        <f t="shared" si="6"/>
        <v>0</v>
      </c>
    </row>
    <row r="36" spans="15:26" ht="15" thickBot="1">
      <c r="O36" s="152" t="s">
        <v>51</v>
      </c>
      <c r="P36" s="153">
        <f>(SUM(P25:P35))</f>
        <v>166.3</v>
      </c>
      <c r="Q36" s="154">
        <f>SUM(Q25:Q35)</f>
        <v>1</v>
      </c>
    </row>
    <row r="37" spans="15:26">
      <c r="V37" s="186"/>
      <c r="W37" s="186"/>
      <c r="X37" s="186"/>
      <c r="Y37" s="186"/>
      <c r="Z37" s="186"/>
    </row>
    <row r="38" spans="15:26">
      <c r="V38" s="186"/>
      <c r="W38" s="186"/>
      <c r="X38" s="186"/>
      <c r="Y38" s="186"/>
      <c r="Z38" s="186"/>
    </row>
    <row r="39" spans="15:26">
      <c r="V39" s="186"/>
      <c r="W39" s="186"/>
      <c r="X39" s="186"/>
      <c r="Y39" s="186"/>
      <c r="Z39" s="186"/>
    </row>
    <row r="40" spans="15:26">
      <c r="V40" s="186"/>
      <c r="W40" s="186"/>
      <c r="X40" s="186"/>
      <c r="Y40" s="186"/>
      <c r="Z40" s="186"/>
    </row>
    <row r="41" spans="15:26">
      <c r="V41" s="186"/>
      <c r="W41" s="186"/>
      <c r="X41" s="186"/>
      <c r="Y41" s="186"/>
      <c r="Z41" s="186"/>
    </row>
    <row r="42" spans="15:26">
      <c r="V42" s="186"/>
      <c r="W42" s="186"/>
      <c r="X42" s="186"/>
      <c r="Y42" s="186"/>
      <c r="Z42" s="186"/>
    </row>
    <row r="43" spans="15:26">
      <c r="V43" s="186"/>
      <c r="W43" s="186"/>
      <c r="X43" s="186"/>
      <c r="Y43" s="186"/>
      <c r="Z43" s="186"/>
    </row>
    <row r="44" spans="15:26">
      <c r="V44" s="186"/>
      <c r="W44" s="186"/>
      <c r="X44" s="186"/>
      <c r="Y44" s="186"/>
      <c r="Z44" s="186"/>
    </row>
    <row r="45" spans="15:26">
      <c r="V45" s="186"/>
      <c r="W45" s="186"/>
      <c r="X45" s="186"/>
      <c r="Y45" s="186"/>
      <c r="Z45" s="186"/>
    </row>
    <row r="46" spans="15:26">
      <c r="V46" s="186"/>
      <c r="W46" s="186"/>
      <c r="X46" s="186"/>
      <c r="Y46" s="186"/>
      <c r="Z46" s="186"/>
    </row>
    <row r="47" spans="15:26">
      <c r="V47" s="186"/>
      <c r="W47" s="186"/>
      <c r="X47" s="186"/>
      <c r="Y47" s="186"/>
      <c r="Z47" s="186"/>
    </row>
  </sheetData>
  <mergeCells count="8">
    <mergeCell ref="B16:C16"/>
    <mergeCell ref="B3:D3"/>
    <mergeCell ref="F3:H3"/>
    <mergeCell ref="O23:Q23"/>
    <mergeCell ref="J3:L3"/>
    <mergeCell ref="N3:P3"/>
    <mergeCell ref="R3:T3"/>
    <mergeCell ref="V3:X3"/>
  </mergeCells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2"/>
  <dimension ref="B1:AO93"/>
  <sheetViews>
    <sheetView showGridLines="0" zoomScale="70" zoomScaleNormal="70" workbookViewId="0"/>
  </sheetViews>
  <sheetFormatPr defaultRowHeight="14.5"/>
  <cols>
    <col min="2" max="2" width="11.54296875" bestFit="1" customWidth="1"/>
    <col min="3" max="3" width="10.7265625" bestFit="1" customWidth="1"/>
    <col min="4" max="4" width="9.54296875" bestFit="1" customWidth="1"/>
    <col min="5" max="5" width="14" bestFit="1" customWidth="1"/>
    <col min="6" max="6" width="14.54296875" bestFit="1" customWidth="1"/>
    <col min="7" max="7" width="9.54296875" bestFit="1" customWidth="1"/>
    <col min="8" max="8" width="10.453125" bestFit="1" customWidth="1"/>
    <col min="10" max="10" width="7" bestFit="1" customWidth="1"/>
    <col min="11" max="11" width="12.81640625" bestFit="1" customWidth="1"/>
    <col min="13" max="13" width="41.7265625" bestFit="1" customWidth="1"/>
    <col min="15" max="15" width="18.26953125" bestFit="1" customWidth="1"/>
    <col min="16" max="16" width="24.26953125" bestFit="1" customWidth="1"/>
    <col min="17" max="18" width="18.26953125" customWidth="1"/>
    <col min="19" max="19" width="8.1796875" customWidth="1"/>
    <col min="20" max="20" width="12.7265625" customWidth="1"/>
    <col min="21" max="21" width="10.453125" bestFit="1" customWidth="1"/>
    <col min="22" max="22" width="17.54296875" customWidth="1"/>
    <col min="23" max="23" width="29.1796875" bestFit="1" customWidth="1"/>
    <col min="24" max="24" width="9.54296875" bestFit="1" customWidth="1"/>
    <col min="25" max="25" width="16.54296875" bestFit="1" customWidth="1"/>
    <col min="31" max="31" width="10.81640625" bestFit="1" customWidth="1"/>
    <col min="32" max="32" width="12.26953125" bestFit="1" customWidth="1"/>
  </cols>
  <sheetData>
    <row r="1" spans="2:19" ht="15" thickBot="1"/>
    <row r="2" spans="2:19">
      <c r="C2" s="429" t="s">
        <v>21</v>
      </c>
      <c r="D2" s="430"/>
      <c r="E2" s="430"/>
      <c r="F2" s="430"/>
      <c r="G2" s="431"/>
      <c r="P2" s="100" t="s">
        <v>72</v>
      </c>
      <c r="Q2" s="100" t="s">
        <v>73</v>
      </c>
    </row>
    <row r="3" spans="2:19">
      <c r="C3" s="11"/>
      <c r="D3" s="8" t="s">
        <v>74</v>
      </c>
      <c r="E3" s="8" t="s">
        <v>20</v>
      </c>
      <c r="F3" s="8"/>
      <c r="G3" s="12" t="s">
        <v>22</v>
      </c>
      <c r="P3" s="49" t="s">
        <v>75</v>
      </c>
      <c r="Q3" s="102" t="s">
        <v>76</v>
      </c>
    </row>
    <row r="4" spans="2:19" ht="15" thickBot="1">
      <c r="B4" s="115" t="s">
        <v>303</v>
      </c>
      <c r="C4" s="13">
        <v>0.50760000000000005</v>
      </c>
      <c r="D4" s="14">
        <v>51.113</v>
      </c>
      <c r="E4" s="14">
        <v>50.7592</v>
      </c>
      <c r="F4" s="14">
        <f>D4-E4</f>
        <v>0.35379999999999967</v>
      </c>
      <c r="G4" s="19">
        <f>(F4*13.74)/C4</f>
        <v>9.5768557919621653</v>
      </c>
      <c r="P4" s="49" t="s">
        <v>77</v>
      </c>
      <c r="Q4" s="102" t="s">
        <v>78</v>
      </c>
    </row>
    <row r="5" spans="2:19" ht="15" thickBot="1">
      <c r="B5" s="115" t="s">
        <v>304</v>
      </c>
      <c r="C5" s="13">
        <v>0.85670000000000002</v>
      </c>
      <c r="D5" s="14">
        <v>51.473599999999998</v>
      </c>
      <c r="E5" s="14">
        <v>51.39723</v>
      </c>
      <c r="F5" s="14">
        <f>D5-E5</f>
        <v>7.6369999999997162E-2</v>
      </c>
      <c r="G5" s="19">
        <f>(F5*13.74)/C5</f>
        <v>1.2248439360335717</v>
      </c>
      <c r="P5" s="49" t="s">
        <v>79</v>
      </c>
      <c r="Q5" s="102" t="s">
        <v>80</v>
      </c>
      <c r="S5" s="22">
        <v>5.0099999999999999E-2</v>
      </c>
    </row>
    <row r="6" spans="2:19" ht="15" thickBot="1">
      <c r="S6" s="22">
        <v>4.3799999999999999E-2</v>
      </c>
    </row>
    <row r="7" spans="2:19" ht="15" thickBot="1">
      <c r="C7" s="432" t="s">
        <v>0</v>
      </c>
      <c r="D7" s="433"/>
      <c r="E7" s="433"/>
      <c r="F7" s="433"/>
      <c r="G7" s="434"/>
      <c r="I7" s="432" t="s">
        <v>0</v>
      </c>
      <c r="J7" s="433"/>
      <c r="K7" s="433"/>
      <c r="L7" s="433"/>
      <c r="M7" s="434"/>
    </row>
    <row r="8" spans="2:19">
      <c r="C8" s="1" t="s">
        <v>2</v>
      </c>
      <c r="D8" s="2" t="s">
        <v>3</v>
      </c>
      <c r="E8" s="2" t="s">
        <v>4</v>
      </c>
      <c r="F8" s="2" t="s">
        <v>5</v>
      </c>
      <c r="G8" s="3" t="s">
        <v>6</v>
      </c>
      <c r="I8" s="1" t="s">
        <v>2</v>
      </c>
      <c r="J8" s="2" t="s">
        <v>3</v>
      </c>
      <c r="K8" s="2" t="s">
        <v>4</v>
      </c>
      <c r="L8" s="2" t="s">
        <v>5</v>
      </c>
      <c r="M8" s="3" t="s">
        <v>6</v>
      </c>
    </row>
    <row r="9" spans="2:19" ht="15" thickBot="1">
      <c r="C9" s="4">
        <v>0.35589999999999999</v>
      </c>
      <c r="D9" s="108">
        <v>12.86</v>
      </c>
      <c r="E9" s="6">
        <v>0.498</v>
      </c>
      <c r="F9" s="7">
        <v>1.4</v>
      </c>
      <c r="G9" s="7">
        <f>(D9*E9*F9)/C9</f>
        <v>25.192447316661983</v>
      </c>
      <c r="I9" s="4">
        <v>0.15620000000000001</v>
      </c>
      <c r="J9" s="5">
        <v>10.58</v>
      </c>
      <c r="K9" s="6">
        <v>0.49340000000000001</v>
      </c>
      <c r="L9" s="7">
        <v>1.4</v>
      </c>
      <c r="M9" s="7">
        <f>(J9*K9*L9)/I9</f>
        <v>46.787713188220224</v>
      </c>
    </row>
    <row r="10" spans="2:19" ht="15" thickBot="1">
      <c r="C10" s="4">
        <v>0.3014</v>
      </c>
      <c r="D10" s="5">
        <v>11.19</v>
      </c>
      <c r="E10" s="6">
        <v>0.498</v>
      </c>
      <c r="F10" s="7">
        <v>1.4</v>
      </c>
      <c r="G10" s="7">
        <f>(D10*E10*F10)/C10</f>
        <v>25.884764432647643</v>
      </c>
      <c r="I10" s="4"/>
      <c r="J10" s="5"/>
      <c r="K10" s="6">
        <v>0.52449999999999997</v>
      </c>
      <c r="L10" s="7">
        <v>1.4</v>
      </c>
      <c r="M10" s="7" t="e">
        <f>(J10*K10*L10)/I10</f>
        <v>#DIV/0!</v>
      </c>
    </row>
    <row r="11" spans="2:19">
      <c r="C11" s="96"/>
      <c r="D11" s="96"/>
      <c r="E11" s="97"/>
      <c r="F11" s="98"/>
      <c r="G11" s="98"/>
      <c r="P11">
        <v>10.27</v>
      </c>
    </row>
    <row r="12" spans="2:19" ht="15" thickBot="1">
      <c r="C12" t="s">
        <v>81</v>
      </c>
      <c r="D12" t="s">
        <v>82</v>
      </c>
      <c r="P12">
        <v>12.24</v>
      </c>
    </row>
    <row r="13" spans="2:19">
      <c r="C13" s="429" t="s">
        <v>7</v>
      </c>
      <c r="D13" s="430"/>
      <c r="E13" s="430"/>
      <c r="F13" s="430"/>
      <c r="G13" s="430"/>
      <c r="H13" s="431"/>
      <c r="M13" s="438" t="s">
        <v>83</v>
      </c>
      <c r="N13" s="439"/>
    </row>
    <row r="14" spans="2:19">
      <c r="C14" s="15" t="s">
        <v>8</v>
      </c>
      <c r="D14" s="9" t="s">
        <v>19</v>
      </c>
      <c r="E14" s="9" t="s">
        <v>10</v>
      </c>
      <c r="F14" s="9" t="s">
        <v>20</v>
      </c>
      <c r="G14" s="9"/>
      <c r="H14" s="16" t="s">
        <v>13</v>
      </c>
      <c r="M14" s="21" t="s">
        <v>72</v>
      </c>
      <c r="N14" s="21" t="s">
        <v>84</v>
      </c>
    </row>
    <row r="15" spans="2:19" ht="15" thickBot="1">
      <c r="C15" s="13">
        <v>0.50680000000000003</v>
      </c>
      <c r="D15" s="14">
        <v>25</v>
      </c>
      <c r="E15" s="14">
        <v>51.162700000000001</v>
      </c>
      <c r="F15" s="14">
        <v>50.992199999999997</v>
      </c>
      <c r="G15" s="14">
        <f>E15-F15</f>
        <v>0.17050000000000409</v>
      </c>
      <c r="H15" s="20">
        <f>(G15*3.207)/(C15/250*D15)</f>
        <v>10.789137726914227</v>
      </c>
      <c r="M15" s="21"/>
      <c r="N15" s="21"/>
    </row>
    <row r="16" spans="2:19" ht="15" thickBot="1">
      <c r="C16" s="13">
        <v>0.51670000000000005</v>
      </c>
      <c r="D16" s="14">
        <v>25</v>
      </c>
      <c r="E16" s="14">
        <v>45.543999999999997</v>
      </c>
      <c r="F16" s="14">
        <v>45.222299999999997</v>
      </c>
      <c r="G16" s="14">
        <f>E16-F16</f>
        <v>0.32169999999999987</v>
      </c>
      <c r="H16" s="20">
        <f>(G16*3.207)/(C16/250*D16)</f>
        <v>19.96694213276562</v>
      </c>
      <c r="M16" s="21" t="s">
        <v>85</v>
      </c>
      <c r="N16" s="34">
        <v>4.0000000000000002E-4</v>
      </c>
    </row>
    <row r="17" spans="3:22" ht="15" thickBot="1">
      <c r="C17" s="13">
        <v>1.0507</v>
      </c>
      <c r="D17" s="14">
        <v>25</v>
      </c>
      <c r="E17" s="14">
        <v>50.360900000000001</v>
      </c>
      <c r="F17" s="14">
        <v>50.031599999999997</v>
      </c>
      <c r="G17" s="14">
        <f>E17-F17</f>
        <v>0.32930000000000348</v>
      </c>
      <c r="H17" s="20">
        <f>(G17*3.207)/(C17/250*D17)</f>
        <v>10.051062149043602</v>
      </c>
      <c r="M17" s="21" t="s">
        <v>86</v>
      </c>
      <c r="N17" s="34">
        <v>0.34949999999999998</v>
      </c>
    </row>
    <row r="18" spans="3:22">
      <c r="C18" s="435" t="s">
        <v>14</v>
      </c>
      <c r="D18" s="436"/>
      <c r="E18" s="436"/>
      <c r="F18" s="436"/>
      <c r="G18" s="436"/>
      <c r="H18" s="437"/>
    </row>
    <row r="19" spans="3:22">
      <c r="C19" s="17" t="s">
        <v>8</v>
      </c>
      <c r="D19" s="10" t="s">
        <v>15</v>
      </c>
      <c r="E19" s="10" t="s">
        <v>16</v>
      </c>
      <c r="F19" s="10" t="s">
        <v>9</v>
      </c>
      <c r="G19" s="10" t="s">
        <v>17</v>
      </c>
      <c r="H19" s="18" t="s">
        <v>18</v>
      </c>
    </row>
    <row r="20" spans="3:22" ht="15" thickBot="1">
      <c r="C20" s="13">
        <v>1.0548</v>
      </c>
      <c r="D20" s="14">
        <v>500</v>
      </c>
      <c r="E20" s="14">
        <v>250</v>
      </c>
      <c r="F20" s="14">
        <v>5</v>
      </c>
      <c r="G20" s="14">
        <v>20</v>
      </c>
      <c r="H20" s="20">
        <f>IF(C20="","",((G20*(D20*E20)*POWER(10,-4))/(F20*C20))*1.205)</f>
        <v>57.119833143723937</v>
      </c>
      <c r="O20" s="419" t="s">
        <v>87</v>
      </c>
      <c r="P20" s="420"/>
      <c r="Q20" s="420"/>
      <c r="R20" s="420"/>
      <c r="S20" s="420"/>
      <c r="T20" s="420"/>
      <c r="U20" s="420"/>
      <c r="V20" s="421"/>
    </row>
    <row r="21" spans="3:22" ht="15" thickBot="1">
      <c r="C21" s="13">
        <v>1.0447</v>
      </c>
      <c r="D21" s="14">
        <v>250</v>
      </c>
      <c r="E21" s="14">
        <v>500</v>
      </c>
      <c r="F21" s="14">
        <v>5</v>
      </c>
      <c r="G21" s="14">
        <v>15.68</v>
      </c>
      <c r="H21" s="20">
        <f>IF(C21="","",((G21*(D21*E21)*POWER(10,-4))/(F21*C21))*1.205)</f>
        <v>45.214894228008042</v>
      </c>
      <c r="O21" s="24" t="s">
        <v>88</v>
      </c>
      <c r="P21" s="24"/>
      <c r="Q21" s="24"/>
      <c r="R21" s="24"/>
      <c r="S21" s="24" t="s">
        <v>89</v>
      </c>
      <c r="T21" s="24" t="s">
        <v>90</v>
      </c>
      <c r="U21" s="24" t="s">
        <v>91</v>
      </c>
      <c r="V21" s="24" t="s">
        <v>92</v>
      </c>
    </row>
    <row r="22" spans="3:22" ht="15" thickBot="1">
      <c r="C22" s="13">
        <v>1.0071000000000001</v>
      </c>
      <c r="D22" s="14">
        <v>250</v>
      </c>
      <c r="E22" s="14">
        <v>500</v>
      </c>
      <c r="F22" s="14">
        <v>5</v>
      </c>
      <c r="G22" s="14">
        <v>15.28</v>
      </c>
      <c r="H22" s="20">
        <f>IF(C22="","",((G22*(D22*E22)*POWER(10,-4))/(F22*C22))*1.205)</f>
        <v>45.706483963856613</v>
      </c>
      <c r="O22" s="26" t="s">
        <v>93</v>
      </c>
      <c r="P22" s="26"/>
      <c r="Q22" s="26"/>
      <c r="R22" s="26"/>
      <c r="S22" s="23">
        <v>9.2799999999999994</v>
      </c>
      <c r="T22" s="25">
        <v>8.3699999999999997E-2</v>
      </c>
      <c r="U22" s="25">
        <v>0.09</v>
      </c>
      <c r="V22" s="25">
        <v>9.6299999999999997E-2</v>
      </c>
    </row>
    <row r="23" spans="3:22">
      <c r="O23" s="26" t="s">
        <v>23</v>
      </c>
      <c r="P23" s="26"/>
      <c r="Q23" s="26"/>
      <c r="R23" s="26"/>
      <c r="S23" s="23">
        <v>0.46</v>
      </c>
      <c r="T23" s="25">
        <v>4.3E-3</v>
      </c>
      <c r="U23" s="25">
        <v>5.0000000000000001E-3</v>
      </c>
      <c r="V23" s="25">
        <v>5.7999999999999996E-3</v>
      </c>
    </row>
    <row r="24" spans="3:22" ht="15" thickBot="1">
      <c r="J24" s="27" t="s">
        <v>94</v>
      </c>
      <c r="K24" s="27" t="s">
        <v>95</v>
      </c>
      <c r="O24" s="26" t="s">
        <v>96</v>
      </c>
      <c r="P24" s="26"/>
      <c r="Q24" s="26"/>
      <c r="R24" s="26"/>
      <c r="S24" s="23"/>
      <c r="T24" s="22"/>
      <c r="U24" s="22"/>
      <c r="V24" s="22"/>
    </row>
    <row r="25" spans="3:22">
      <c r="E25" s="426" t="s">
        <v>97</v>
      </c>
      <c r="F25" s="427"/>
      <c r="G25" s="427"/>
      <c r="H25" s="427"/>
      <c r="I25" s="428"/>
      <c r="J25" s="110">
        <v>275399</v>
      </c>
      <c r="K25" s="23">
        <v>403</v>
      </c>
      <c r="O25" s="23">
        <v>11</v>
      </c>
      <c r="P25" s="23"/>
      <c r="Q25" s="23"/>
      <c r="R25" s="23"/>
      <c r="S25" s="23"/>
      <c r="T25" s="22"/>
      <c r="U25" s="22"/>
      <c r="V25" s="22"/>
    </row>
    <row r="26" spans="3:22">
      <c r="C26" s="423" t="s">
        <v>98</v>
      </c>
      <c r="D26" s="424"/>
      <c r="E26" s="111" t="s">
        <v>26</v>
      </c>
      <c r="F26" s="65" t="s">
        <v>99</v>
      </c>
      <c r="G26" s="65" t="s">
        <v>100</v>
      </c>
      <c r="H26" s="65" t="s">
        <v>101</v>
      </c>
      <c r="I26" s="112" t="s">
        <v>84</v>
      </c>
      <c r="J26" s="110">
        <v>255516</v>
      </c>
      <c r="K26" s="23">
        <v>462.9</v>
      </c>
    </row>
    <row r="27" spans="3:22" ht="15" thickBot="1">
      <c r="C27" s="49" t="s">
        <v>102</v>
      </c>
      <c r="D27" s="109">
        <v>5.4820000000000002</v>
      </c>
      <c r="E27" s="113">
        <v>5.0321999999999996</v>
      </c>
      <c r="F27" s="67">
        <v>49.636000000000003</v>
      </c>
      <c r="G27" s="67">
        <v>49.635800000000003</v>
      </c>
      <c r="H27" s="67">
        <f>F27-G27</f>
        <v>1.9999999999953388E-4</v>
      </c>
      <c r="I27" s="176">
        <f>(H27/E27)*100</f>
        <v>3.974404832867014E-3</v>
      </c>
      <c r="J27" s="110">
        <v>275518</v>
      </c>
      <c r="K27" s="23">
        <v>501.9</v>
      </c>
    </row>
    <row r="28" spans="3:22" ht="15" thickBot="1">
      <c r="C28" s="49" t="s">
        <v>103</v>
      </c>
      <c r="D28" s="23">
        <v>6.4749999999999996</v>
      </c>
      <c r="F28" s="96"/>
      <c r="G28" s="96"/>
      <c r="J28" s="23">
        <v>275824</v>
      </c>
      <c r="K28" s="23">
        <v>345</v>
      </c>
    </row>
    <row r="29" spans="3:22" ht="15" thickBot="1">
      <c r="F29" s="114" t="s">
        <v>104</v>
      </c>
      <c r="G29" s="96"/>
      <c r="J29" s="23">
        <v>275825</v>
      </c>
      <c r="K29" s="23">
        <v>346</v>
      </c>
    </row>
    <row r="30" spans="3:22" ht="15" thickBot="1">
      <c r="F30" s="169">
        <f>100-I27</f>
        <v>99.99602559516714</v>
      </c>
      <c r="G30" s="96"/>
      <c r="J30" s="23">
        <v>275933</v>
      </c>
      <c r="K30" s="23">
        <v>406</v>
      </c>
      <c r="O30" s="456" t="s">
        <v>105</v>
      </c>
      <c r="P30" s="457"/>
      <c r="Q30" s="103"/>
      <c r="R30" s="103"/>
      <c r="S30" s="103"/>
      <c r="T30" s="104"/>
    </row>
    <row r="31" spans="3:22" ht="15" thickBot="1">
      <c r="F31" s="96"/>
      <c r="G31" s="96"/>
      <c r="J31" s="23">
        <v>275932</v>
      </c>
      <c r="K31" s="23">
        <v>341.4</v>
      </c>
      <c r="M31" s="21" t="s">
        <v>0</v>
      </c>
      <c r="N31" s="32">
        <v>3.4500000000000003E-2</v>
      </c>
      <c r="O31" s="29" t="s">
        <v>106</v>
      </c>
      <c r="P31" s="64" t="s">
        <v>30</v>
      </c>
      <c r="Q31" s="64"/>
      <c r="R31" s="64"/>
      <c r="S31" s="31" t="s">
        <v>107</v>
      </c>
      <c r="T31" s="31" t="s">
        <v>108</v>
      </c>
    </row>
    <row r="32" spans="3:22" ht="15" thickBot="1">
      <c r="F32" s="96"/>
      <c r="G32" s="96"/>
      <c r="J32" s="23">
        <v>275934</v>
      </c>
      <c r="K32" s="23">
        <v>232.5</v>
      </c>
      <c r="M32" s="21" t="s">
        <v>21</v>
      </c>
      <c r="N32" s="28">
        <v>0.16209999999999999</v>
      </c>
      <c r="O32" s="29" t="s">
        <v>109</v>
      </c>
      <c r="P32" s="64">
        <v>4.96</v>
      </c>
      <c r="Q32" s="64"/>
      <c r="R32" s="64"/>
      <c r="S32" s="30"/>
      <c r="T32" s="95">
        <v>8.3698430083972264E-2</v>
      </c>
    </row>
    <row r="33" spans="2:41" ht="15" thickBot="1">
      <c r="F33" s="96"/>
      <c r="G33" s="96"/>
      <c r="J33" s="23">
        <v>276130</v>
      </c>
      <c r="K33" s="23">
        <v>397</v>
      </c>
      <c r="O33" s="29" t="s">
        <v>110</v>
      </c>
      <c r="P33" s="64">
        <v>5.14</v>
      </c>
      <c r="Q33" s="64"/>
      <c r="R33" s="64"/>
      <c r="S33" s="30"/>
      <c r="T33" s="95">
        <v>9.3196976433970652E-2</v>
      </c>
    </row>
    <row r="34" spans="2:41" ht="15" thickBot="1">
      <c r="F34" s="96"/>
      <c r="G34" s="96"/>
      <c r="J34" s="23">
        <v>276131</v>
      </c>
      <c r="K34" s="23">
        <v>355.4</v>
      </c>
      <c r="O34" s="29" t="s">
        <v>111</v>
      </c>
      <c r="P34" s="64">
        <v>5.17</v>
      </c>
    </row>
    <row r="35" spans="2:41">
      <c r="F35" s="96"/>
      <c r="G35" s="96"/>
      <c r="N35" s="422" t="s">
        <v>112</v>
      </c>
      <c r="O35" s="422"/>
      <c r="P35" s="422"/>
      <c r="Q35" s="422"/>
      <c r="R35" s="422"/>
      <c r="S35" s="42"/>
      <c r="U35" s="425" t="s">
        <v>113</v>
      </c>
      <c r="V35" s="425"/>
      <c r="W35" s="425"/>
      <c r="Z35">
        <v>35.28</v>
      </c>
    </row>
    <row r="36" spans="2:41">
      <c r="F36" s="96"/>
      <c r="G36" s="96"/>
      <c r="M36">
        <v>42.71</v>
      </c>
      <c r="N36" s="27" t="s">
        <v>114</v>
      </c>
      <c r="O36" s="27" t="s">
        <v>115</v>
      </c>
      <c r="P36" s="27"/>
      <c r="Q36" s="27"/>
      <c r="R36" s="27"/>
      <c r="S36" s="27"/>
      <c r="U36" s="52" t="s">
        <v>114</v>
      </c>
      <c r="V36" s="52" t="s">
        <v>116</v>
      </c>
      <c r="W36" s="52" t="s">
        <v>117</v>
      </c>
      <c r="Z36">
        <v>36.72</v>
      </c>
    </row>
    <row r="37" spans="2:41">
      <c r="F37" s="96"/>
      <c r="G37" s="96"/>
      <c r="M37">
        <v>41.1</v>
      </c>
      <c r="N37" s="26" t="s">
        <v>118</v>
      </c>
      <c r="O37" s="22">
        <v>0.499</v>
      </c>
      <c r="P37" s="22"/>
      <c r="Q37" s="22"/>
      <c r="R37" s="22"/>
      <c r="S37" s="33"/>
      <c r="U37" s="26" t="s">
        <v>118</v>
      </c>
      <c r="V37" s="22">
        <v>0.52239999999999998</v>
      </c>
      <c r="W37" s="22">
        <v>0.52829999999999999</v>
      </c>
    </row>
    <row r="38" spans="2:41">
      <c r="F38" s="96"/>
      <c r="G38" s="96"/>
      <c r="N38" s="26"/>
      <c r="O38" s="22"/>
      <c r="P38" s="22"/>
      <c r="Q38" s="22"/>
      <c r="R38" s="22"/>
      <c r="S38" s="22"/>
    </row>
    <row r="39" spans="2:41">
      <c r="F39" s="96"/>
      <c r="G39" s="96"/>
      <c r="N39" s="26"/>
      <c r="O39" s="22"/>
      <c r="P39" s="22"/>
      <c r="Q39" s="22"/>
      <c r="R39" s="22"/>
      <c r="S39" s="22"/>
    </row>
    <row r="40" spans="2:41">
      <c r="F40" s="96"/>
      <c r="G40" s="96"/>
      <c r="N40" s="26"/>
      <c r="O40" s="22"/>
      <c r="P40" s="22"/>
      <c r="Q40" s="22"/>
      <c r="R40" s="22"/>
      <c r="S40" s="22"/>
    </row>
    <row r="41" spans="2:41">
      <c r="N41" s="26"/>
      <c r="O41" s="22"/>
      <c r="P41" s="22"/>
      <c r="Q41" s="22"/>
      <c r="R41" s="22"/>
      <c r="S41" s="22"/>
      <c r="X41">
        <v>49.9</v>
      </c>
    </row>
    <row r="42" spans="2:41">
      <c r="N42" s="26"/>
      <c r="O42" s="22"/>
      <c r="P42" s="22"/>
      <c r="Q42" s="22"/>
      <c r="R42" s="22"/>
      <c r="S42" s="22"/>
      <c r="X42">
        <v>48.54</v>
      </c>
    </row>
    <row r="43" spans="2:41">
      <c r="G43">
        <v>8.61</v>
      </c>
      <c r="H43">
        <v>36.79</v>
      </c>
      <c r="L43">
        <v>22.51</v>
      </c>
      <c r="M43">
        <v>0.15</v>
      </c>
      <c r="N43" s="26"/>
      <c r="O43" s="22"/>
      <c r="P43" s="22"/>
      <c r="Q43" s="22"/>
      <c r="R43" s="22"/>
      <c r="X43">
        <v>52.24</v>
      </c>
    </row>
    <row r="44" spans="2:41">
      <c r="E44" s="416" t="s">
        <v>119</v>
      </c>
      <c r="F44" s="417"/>
      <c r="G44" s="417"/>
      <c r="H44" s="418"/>
      <c r="L44">
        <v>2.78</v>
      </c>
      <c r="M44">
        <v>0.2</v>
      </c>
      <c r="X44">
        <v>52.83</v>
      </c>
    </row>
    <row r="45" spans="2:41">
      <c r="E45" s="26" t="s">
        <v>120</v>
      </c>
      <c r="F45" s="26" t="s">
        <v>121</v>
      </c>
      <c r="G45" s="26" t="s">
        <v>122</v>
      </c>
      <c r="H45" s="26" t="s">
        <v>123</v>
      </c>
      <c r="N45" s="442" t="s">
        <v>124</v>
      </c>
      <c r="O45" s="442"/>
      <c r="P45" s="442"/>
      <c r="Q45" s="442"/>
      <c r="R45" s="442"/>
      <c r="S45" s="442"/>
      <c r="T45" s="442"/>
    </row>
    <row r="46" spans="2:41">
      <c r="E46" s="22">
        <v>0.32719999999999999</v>
      </c>
      <c r="F46" s="47">
        <v>0.32340000000000002</v>
      </c>
      <c r="G46" s="48">
        <v>0.33</v>
      </c>
      <c r="H46" s="48">
        <v>0.33889999999999998</v>
      </c>
      <c r="N46" s="53" t="s">
        <v>125</v>
      </c>
      <c r="O46" s="53" t="s">
        <v>107</v>
      </c>
      <c r="P46" s="53"/>
      <c r="Q46" s="53"/>
      <c r="R46" s="53"/>
      <c r="S46" s="53" t="s">
        <v>126</v>
      </c>
      <c r="T46" s="54" t="s">
        <v>108</v>
      </c>
      <c r="AK46" s="442" t="s">
        <v>124</v>
      </c>
      <c r="AL46" s="442"/>
      <c r="AM46" s="442"/>
      <c r="AN46" s="442"/>
      <c r="AO46" s="442"/>
    </row>
    <row r="47" spans="2:41">
      <c r="E47" s="22">
        <v>0.32590000000000002</v>
      </c>
      <c r="F47" s="47">
        <v>0.32340000000000002</v>
      </c>
      <c r="G47" s="48">
        <v>0.33</v>
      </c>
      <c r="H47" s="48">
        <v>0.33889999999999998</v>
      </c>
      <c r="N47" s="55">
        <v>0.15029999999999999</v>
      </c>
      <c r="O47" s="55">
        <v>0.10199999999999999</v>
      </c>
      <c r="P47" s="55"/>
      <c r="Q47" s="55"/>
      <c r="R47" s="55"/>
      <c r="S47" s="55">
        <v>0.11210000000000001</v>
      </c>
      <c r="T47" s="56">
        <v>2.7000000000000001E-3</v>
      </c>
      <c r="AK47" s="53" t="s">
        <v>125</v>
      </c>
      <c r="AL47" s="53" t="s">
        <v>107</v>
      </c>
      <c r="AM47" s="53" t="s">
        <v>127</v>
      </c>
      <c r="AN47" s="53" t="s">
        <v>126</v>
      </c>
      <c r="AO47" s="54" t="s">
        <v>108</v>
      </c>
    </row>
    <row r="48" spans="2:41">
      <c r="B48" s="100" t="s">
        <v>128</v>
      </c>
      <c r="C48" s="100" t="s">
        <v>129</v>
      </c>
      <c r="N48" s="57" t="s">
        <v>130</v>
      </c>
      <c r="O48" s="55">
        <v>6.9999999999999999E-4</v>
      </c>
      <c r="P48" s="55"/>
      <c r="Q48" s="55"/>
      <c r="R48" s="55"/>
      <c r="S48" s="58">
        <v>2.0999999999999999E-3</v>
      </c>
      <c r="T48" s="59">
        <v>1.1999999999999999E-3</v>
      </c>
      <c r="AK48" s="55">
        <v>0.15029999999999999</v>
      </c>
      <c r="AL48" s="55">
        <v>0.10199999999999999</v>
      </c>
      <c r="AM48" s="55">
        <v>0.12620000000000001</v>
      </c>
      <c r="AN48" s="55">
        <v>0.11210000000000001</v>
      </c>
      <c r="AO48" s="56">
        <v>2.7000000000000001E-3</v>
      </c>
    </row>
    <row r="49" spans="2:32">
      <c r="B49" s="23" t="s">
        <v>125</v>
      </c>
      <c r="C49" s="101">
        <v>8.5199999999999998E-2</v>
      </c>
    </row>
    <row r="50" spans="2:32">
      <c r="B50" s="23" t="s">
        <v>107</v>
      </c>
      <c r="C50" s="101">
        <v>0.24579999999999999</v>
      </c>
      <c r="AE50" s="449" t="s">
        <v>131</v>
      </c>
      <c r="AF50" s="449"/>
    </row>
    <row r="51" spans="2:32">
      <c r="B51" s="23" t="s">
        <v>127</v>
      </c>
      <c r="C51" s="101">
        <v>0.14050000000000001</v>
      </c>
      <c r="Z51" t="s">
        <v>132</v>
      </c>
      <c r="AA51" s="449" t="s">
        <v>132</v>
      </c>
      <c r="AB51" s="449"/>
      <c r="AC51" s="96"/>
      <c r="AE51" s="105" t="s">
        <v>133</v>
      </c>
      <c r="AF51" s="105" t="s">
        <v>134</v>
      </c>
    </row>
    <row r="52" spans="2:32">
      <c r="B52" s="23"/>
      <c r="C52" s="101"/>
      <c r="Z52" s="96"/>
      <c r="AA52" s="105" t="s">
        <v>133</v>
      </c>
      <c r="AB52" s="105" t="s">
        <v>134</v>
      </c>
      <c r="AC52" s="96"/>
      <c r="AE52" s="65">
        <v>4.8</v>
      </c>
      <c r="AF52" s="107">
        <v>0</v>
      </c>
    </row>
    <row r="53" spans="2:32">
      <c r="B53" s="23" t="s">
        <v>126</v>
      </c>
      <c r="C53" s="101">
        <v>9.3299999999999994E-2</v>
      </c>
      <c r="H53" s="44">
        <v>8.4999999999999995E-4</v>
      </c>
      <c r="I53" s="43">
        <v>1E-3</v>
      </c>
      <c r="J53" s="440">
        <v>2E-3</v>
      </c>
      <c r="K53" s="441"/>
      <c r="O53" s="446" t="s">
        <v>135</v>
      </c>
      <c r="P53" s="447"/>
      <c r="Q53" s="447"/>
      <c r="R53" s="447"/>
      <c r="S53" s="447"/>
      <c r="T53" s="447"/>
      <c r="U53" s="448"/>
      <c r="AA53" s="106">
        <v>4.8</v>
      </c>
      <c r="AB53" s="34">
        <v>5.79E-2</v>
      </c>
      <c r="AE53" s="106">
        <v>4</v>
      </c>
      <c r="AF53" s="34">
        <v>2.5899999999999999E-2</v>
      </c>
    </row>
    <row r="54" spans="2:32">
      <c r="B54" s="23" t="s">
        <v>108</v>
      </c>
      <c r="C54" s="101">
        <v>5.0000000000000001E-4</v>
      </c>
      <c r="H54" s="44">
        <v>8.4999999999999995E-4</v>
      </c>
      <c r="I54" s="43">
        <v>1E-3</v>
      </c>
      <c r="J54" s="440">
        <v>2E-3</v>
      </c>
      <c r="K54" s="441"/>
      <c r="O54" s="449" t="s">
        <v>94</v>
      </c>
      <c r="P54" s="84"/>
      <c r="Q54" s="450" t="s">
        <v>136</v>
      </c>
      <c r="R54" s="449" t="s">
        <v>55</v>
      </c>
      <c r="S54" s="451" t="s">
        <v>137</v>
      </c>
      <c r="T54" s="451"/>
      <c r="U54" s="451"/>
      <c r="AA54" s="106">
        <v>4</v>
      </c>
      <c r="AB54" s="34">
        <v>0.82820000000000005</v>
      </c>
      <c r="AE54" s="65">
        <v>2.8</v>
      </c>
      <c r="AF54" s="34">
        <v>8.7499999999999994E-2</v>
      </c>
    </row>
    <row r="55" spans="2:32" ht="15" thickBot="1">
      <c r="C55" s="93">
        <v>14.05</v>
      </c>
      <c r="E55" s="35" t="s">
        <v>138</v>
      </c>
      <c r="F55" t="s">
        <v>139</v>
      </c>
      <c r="H55" s="44">
        <v>2.6349999999999998E-3</v>
      </c>
      <c r="I55" s="43">
        <v>3.0999999999999999E-3</v>
      </c>
      <c r="J55" s="440">
        <v>5.0000000000000001E-3</v>
      </c>
      <c r="K55" s="441"/>
      <c r="M55">
        <v>3.885020282683669E-2</v>
      </c>
      <c r="O55" s="450"/>
      <c r="P55" s="85"/>
      <c r="Q55" s="452"/>
      <c r="R55" s="450"/>
      <c r="S55" s="68" t="s">
        <v>90</v>
      </c>
      <c r="T55" s="68" t="s">
        <v>91</v>
      </c>
      <c r="U55" s="68" t="s">
        <v>92</v>
      </c>
      <c r="AA55" s="106">
        <v>2</v>
      </c>
      <c r="AB55" s="34">
        <v>0.1139</v>
      </c>
      <c r="AE55" s="106">
        <v>2</v>
      </c>
      <c r="AF55" s="34">
        <v>0.23219999999999999</v>
      </c>
    </row>
    <row r="56" spans="2:32">
      <c r="C56" s="93"/>
      <c r="E56" s="35"/>
      <c r="H56" s="44"/>
      <c r="I56" s="43"/>
      <c r="J56" s="60"/>
      <c r="K56" s="61"/>
      <c r="O56" s="443" t="s">
        <v>140</v>
      </c>
      <c r="P56" s="86"/>
      <c r="Q56" s="66" t="s">
        <v>141</v>
      </c>
      <c r="R56" s="77">
        <v>5.9999999999999995E-4</v>
      </c>
      <c r="S56" s="69">
        <v>8.0000000000000004E-4</v>
      </c>
      <c r="T56" s="70">
        <v>1E-3</v>
      </c>
      <c r="U56" s="71">
        <v>2E-3</v>
      </c>
      <c r="AA56" s="106">
        <v>1</v>
      </c>
      <c r="AB56" s="107">
        <v>0</v>
      </c>
      <c r="AE56" s="106">
        <v>1</v>
      </c>
      <c r="AF56" s="34">
        <v>0.34639999999999999</v>
      </c>
    </row>
    <row r="57" spans="2:32">
      <c r="C57" s="93"/>
      <c r="E57" s="38" t="s">
        <v>142</v>
      </c>
      <c r="F57" s="39" t="s">
        <v>143</v>
      </c>
      <c r="H57" s="44">
        <v>2.6349999999999998E-3</v>
      </c>
      <c r="I57" s="43">
        <v>3.0999999999999999E-3</v>
      </c>
      <c r="J57" s="440">
        <v>5.0000000000000001E-3</v>
      </c>
      <c r="K57" s="441"/>
      <c r="M57">
        <v>3.7876870701183292E-2</v>
      </c>
      <c r="O57" s="444"/>
      <c r="P57" s="87"/>
      <c r="Q57" s="65" t="s">
        <v>144</v>
      </c>
      <c r="R57" s="78">
        <v>8.0000000000000004E-4</v>
      </c>
      <c r="S57" s="72">
        <v>8.0000000000000004E-4</v>
      </c>
      <c r="T57" s="46">
        <v>1E-3</v>
      </c>
      <c r="U57" s="73">
        <v>2E-3</v>
      </c>
      <c r="V57" s="45"/>
      <c r="AA57" s="106">
        <v>0.5</v>
      </c>
      <c r="AB57" s="107">
        <v>0</v>
      </c>
      <c r="AE57" s="65">
        <v>0.5</v>
      </c>
      <c r="AF57" s="34">
        <v>0.1729</v>
      </c>
    </row>
    <row r="58" spans="2:32">
      <c r="C58" s="93">
        <v>9.33</v>
      </c>
      <c r="E58" s="38"/>
      <c r="F58" s="39"/>
      <c r="H58" s="62"/>
      <c r="I58" s="63"/>
      <c r="J58" s="62"/>
      <c r="K58" s="62"/>
      <c r="O58" s="444"/>
      <c r="P58" s="87"/>
      <c r="Q58" s="65" t="s">
        <v>145</v>
      </c>
      <c r="R58" s="78">
        <v>1.9E-3</v>
      </c>
      <c r="S58" s="72">
        <v>2.5000000000000001E-3</v>
      </c>
      <c r="T58" s="46">
        <v>3.0000000000000001E-3</v>
      </c>
      <c r="U58" s="73">
        <v>5.0000000000000001E-3</v>
      </c>
      <c r="V58" s="45"/>
      <c r="AA58" s="106" t="s">
        <v>146</v>
      </c>
      <c r="AB58" s="107">
        <v>0</v>
      </c>
      <c r="AE58" s="65" t="s">
        <v>146</v>
      </c>
      <c r="AF58" s="34">
        <v>0.13539999999999999</v>
      </c>
    </row>
    <row r="59" spans="2:32" ht="15" thickBot="1">
      <c r="C59" s="93">
        <v>0.05</v>
      </c>
      <c r="E59" s="38"/>
      <c r="F59" s="39"/>
      <c r="H59" s="62"/>
      <c r="I59" s="63"/>
      <c r="J59" s="62"/>
      <c r="K59" s="62"/>
      <c r="O59" s="445"/>
      <c r="P59" s="88"/>
      <c r="Q59" s="67" t="s">
        <v>147</v>
      </c>
      <c r="R59" s="79">
        <v>2.5000000000000001E-3</v>
      </c>
      <c r="S59" s="72">
        <v>2.5000000000000001E-3</v>
      </c>
      <c r="T59" s="46">
        <v>3.0000000000000001E-3</v>
      </c>
      <c r="U59" s="73">
        <v>5.0000000000000001E-3</v>
      </c>
      <c r="V59" s="45"/>
    </row>
    <row r="60" spans="2:32">
      <c r="E60" s="36" t="s">
        <v>148</v>
      </c>
      <c r="F60" t="s">
        <v>139</v>
      </c>
      <c r="M60">
        <v>2.8489379159449359E-2</v>
      </c>
      <c r="O60" s="443" t="s">
        <v>149</v>
      </c>
      <c r="P60" s="86"/>
      <c r="Q60" s="66" t="s">
        <v>141</v>
      </c>
      <c r="R60" s="77">
        <v>5.9999999999999995E-4</v>
      </c>
      <c r="S60" s="72">
        <v>8.0000000000000004E-4</v>
      </c>
      <c r="T60" s="46">
        <v>1E-3</v>
      </c>
      <c r="U60" s="73">
        <v>2E-3</v>
      </c>
      <c r="V60" s="45"/>
    </row>
    <row r="61" spans="2:32">
      <c r="E61" s="37" t="s">
        <v>150</v>
      </c>
      <c r="F61" t="s">
        <v>139</v>
      </c>
      <c r="M61">
        <v>3.4455077375720067E-2</v>
      </c>
      <c r="O61" s="444"/>
      <c r="P61" s="87"/>
      <c r="Q61" s="65" t="s">
        <v>144</v>
      </c>
      <c r="R61" s="78">
        <v>1.1999999999999999E-3</v>
      </c>
      <c r="S61" s="72">
        <v>8.0000000000000004E-4</v>
      </c>
      <c r="T61" s="46">
        <v>1E-3</v>
      </c>
      <c r="U61" s="73">
        <v>2E-3</v>
      </c>
      <c r="V61" s="45"/>
    </row>
    <row r="62" spans="2:32">
      <c r="E62" s="40" t="s">
        <v>151</v>
      </c>
      <c r="F62" s="39" t="s">
        <v>143</v>
      </c>
      <c r="O62" s="444"/>
      <c r="P62" s="87"/>
      <c r="Q62" s="65" t="s">
        <v>145</v>
      </c>
      <c r="R62" s="78">
        <v>2.3E-3</v>
      </c>
      <c r="S62" s="72">
        <v>2.5000000000000001E-3</v>
      </c>
      <c r="T62" s="46">
        <v>3.0000000000000001E-3</v>
      </c>
      <c r="U62" s="73">
        <v>5.0000000000000001E-3</v>
      </c>
      <c r="V62" s="45"/>
    </row>
    <row r="63" spans="2:32" ht="15" thickBot="1">
      <c r="E63" s="37" t="s">
        <v>152</v>
      </c>
      <c r="F63" t="s">
        <v>139</v>
      </c>
      <c r="O63" s="445"/>
      <c r="P63" s="88"/>
      <c r="Q63" s="67" t="s">
        <v>147</v>
      </c>
      <c r="R63" s="80">
        <v>3.0999999999999999E-3</v>
      </c>
      <c r="S63" s="72">
        <v>2.5000000000000001E-3</v>
      </c>
      <c r="T63" s="46">
        <v>3.0000000000000001E-3</v>
      </c>
      <c r="U63" s="73">
        <v>5.0000000000000001E-3</v>
      </c>
    </row>
    <row r="64" spans="2:32">
      <c r="E64" s="36" t="s">
        <v>153</v>
      </c>
      <c r="F64" t="s">
        <v>139</v>
      </c>
      <c r="O64" s="443" t="s">
        <v>154</v>
      </c>
      <c r="P64" s="86"/>
      <c r="Q64" s="66" t="s">
        <v>141</v>
      </c>
      <c r="R64" s="81">
        <v>5.0000000000000001E-4</v>
      </c>
      <c r="S64" s="72">
        <v>8.0000000000000004E-4</v>
      </c>
      <c r="T64" s="46">
        <v>1E-3</v>
      </c>
      <c r="U64" s="73">
        <v>2E-3</v>
      </c>
    </row>
    <row r="65" spans="5:35">
      <c r="O65" s="444"/>
      <c r="P65" s="87"/>
      <c r="Q65" s="65" t="s">
        <v>144</v>
      </c>
      <c r="R65" s="82">
        <v>5.0000000000000001E-4</v>
      </c>
      <c r="S65" s="72">
        <v>8.0000000000000004E-4</v>
      </c>
      <c r="T65" s="46">
        <v>1E-3</v>
      </c>
      <c r="U65" s="73">
        <v>2E-3</v>
      </c>
    </row>
    <row r="66" spans="5:35">
      <c r="O66" s="444"/>
      <c r="P66" s="87"/>
      <c r="Q66" s="65" t="s">
        <v>145</v>
      </c>
      <c r="R66" s="82">
        <v>1E-3</v>
      </c>
      <c r="S66" s="72">
        <v>2.5000000000000001E-3</v>
      </c>
      <c r="T66" s="46">
        <v>3.0000000000000001E-3</v>
      </c>
      <c r="U66" s="73">
        <v>5.0000000000000001E-3</v>
      </c>
      <c r="AF66" s="453" t="s">
        <v>155</v>
      </c>
      <c r="AG66" s="453"/>
      <c r="AH66" s="453"/>
      <c r="AI66" s="453"/>
    </row>
    <row r="67" spans="5:35" ht="15" thickBot="1">
      <c r="E67" s="41" t="s">
        <v>156</v>
      </c>
      <c r="O67" s="445"/>
      <c r="P67" s="88"/>
      <c r="Q67" s="67" t="s">
        <v>147</v>
      </c>
      <c r="R67" s="80">
        <v>2.0999999999999999E-3</v>
      </c>
      <c r="S67" s="74">
        <v>2.5000000000000001E-3</v>
      </c>
      <c r="T67" s="75">
        <v>3.0000000000000001E-3</v>
      </c>
      <c r="U67" s="76">
        <v>5.0000000000000001E-3</v>
      </c>
      <c r="AF67" s="100" t="s">
        <v>94</v>
      </c>
      <c r="AG67" s="100" t="s">
        <v>157</v>
      </c>
      <c r="AH67" s="100" t="s">
        <v>158</v>
      </c>
      <c r="AI67" s="100" t="s">
        <v>159</v>
      </c>
    </row>
    <row r="68" spans="5:35">
      <c r="E68" s="41" t="s">
        <v>160</v>
      </c>
      <c r="AF68" s="26">
        <v>288739</v>
      </c>
      <c r="AG68" s="23">
        <v>1.5</v>
      </c>
      <c r="AH68" s="23">
        <v>3.7</v>
      </c>
      <c r="AI68" s="23">
        <v>9.5</v>
      </c>
    </row>
    <row r="69" spans="5:35">
      <c r="E69" s="41" t="s">
        <v>161</v>
      </c>
      <c r="AF69" s="26">
        <v>294855</v>
      </c>
      <c r="AG69" s="23">
        <v>0.4</v>
      </c>
      <c r="AH69" s="23">
        <v>1.1000000000000001</v>
      </c>
      <c r="AI69" s="23">
        <v>3.6</v>
      </c>
    </row>
    <row r="70" spans="5:35" ht="15.75" customHeight="1">
      <c r="E70" s="41" t="s">
        <v>150</v>
      </c>
      <c r="O70" s="454" t="s">
        <v>94</v>
      </c>
      <c r="P70" s="425" t="s">
        <v>162</v>
      </c>
      <c r="Q70" s="425"/>
      <c r="R70" s="425"/>
    </row>
    <row r="71" spans="5:35" ht="15.75" customHeight="1">
      <c r="E71" s="41"/>
      <c r="O71" s="455"/>
      <c r="P71" s="90" t="s">
        <v>125</v>
      </c>
      <c r="Q71" s="91" t="s">
        <v>107</v>
      </c>
      <c r="R71" s="91" t="s">
        <v>126</v>
      </c>
    </row>
    <row r="72" spans="5:35" ht="15.75" customHeight="1">
      <c r="E72" s="41"/>
      <c r="O72" s="92" t="s">
        <v>163</v>
      </c>
      <c r="P72" s="89">
        <v>8.4000000000000005E-2</v>
      </c>
      <c r="Q72" s="22">
        <v>0.3851</v>
      </c>
      <c r="R72" s="22">
        <v>0.185</v>
      </c>
    </row>
    <row r="73" spans="5:35">
      <c r="E73" s="41" t="s">
        <v>152</v>
      </c>
      <c r="O73" s="26" t="s">
        <v>164</v>
      </c>
      <c r="P73" s="22">
        <v>8.5300000000000001E-2</v>
      </c>
      <c r="Q73" s="22">
        <v>0.40289999999999998</v>
      </c>
      <c r="R73" s="22">
        <v>0.1772</v>
      </c>
      <c r="W73" s="83" t="s">
        <v>165</v>
      </c>
      <c r="X73" s="83" t="s">
        <v>30</v>
      </c>
      <c r="Y73" s="83" t="s">
        <v>166</v>
      </c>
    </row>
    <row r="74" spans="5:35">
      <c r="E74" s="41" t="s">
        <v>153</v>
      </c>
      <c r="O74" s="26" t="s">
        <v>167</v>
      </c>
      <c r="P74" s="22">
        <v>8.0500000000000002E-2</v>
      </c>
      <c r="Q74" s="22">
        <v>0.378</v>
      </c>
      <c r="R74" s="22">
        <v>0.19239999999999999</v>
      </c>
      <c r="W74" s="23" t="s">
        <v>168</v>
      </c>
      <c r="X74" s="50">
        <v>6.0164887533358753E-2</v>
      </c>
      <c r="Y74" s="50">
        <v>6.678302516202822E-2</v>
      </c>
    </row>
    <row r="75" spans="5:35">
      <c r="W75" s="23" t="s">
        <v>169</v>
      </c>
      <c r="X75" s="50">
        <v>5.7339449541284407E-2</v>
      </c>
      <c r="Y75" s="50">
        <v>6.3646788990825695E-2</v>
      </c>
    </row>
    <row r="76" spans="5:35">
      <c r="W76" s="23"/>
      <c r="X76" s="50"/>
      <c r="Y76" s="50"/>
    </row>
    <row r="77" spans="5:35">
      <c r="W77" s="23"/>
      <c r="X77" s="50"/>
      <c r="Y77" s="50"/>
    </row>
    <row r="78" spans="5:35">
      <c r="W78" s="23"/>
      <c r="X78" s="50"/>
      <c r="Y78" s="50"/>
    </row>
    <row r="80" spans="5:35">
      <c r="G80" s="51" t="s">
        <v>170</v>
      </c>
      <c r="H80" s="51" t="s">
        <v>171</v>
      </c>
    </row>
    <row r="81" spans="7:31">
      <c r="G81" s="23" t="s">
        <v>172</v>
      </c>
      <c r="H81" s="23">
        <v>1.06</v>
      </c>
    </row>
    <row r="82" spans="7:31">
      <c r="G82" s="23" t="s">
        <v>173</v>
      </c>
      <c r="H82" s="23">
        <v>1.18</v>
      </c>
    </row>
    <row r="83" spans="7:31">
      <c r="G83" s="23" t="s">
        <v>174</v>
      </c>
      <c r="H83" s="50">
        <v>1</v>
      </c>
    </row>
    <row r="84" spans="7:31">
      <c r="G84" s="23" t="s">
        <v>175</v>
      </c>
      <c r="H84" s="23">
        <v>0.78</v>
      </c>
      <c r="L84">
        <v>938.9</v>
      </c>
      <c r="M84">
        <v>6.6</v>
      </c>
    </row>
    <row r="91" spans="7:31">
      <c r="AE91" t="s">
        <v>176</v>
      </c>
    </row>
    <row r="92" spans="7:31">
      <c r="AE92" t="s">
        <v>177</v>
      </c>
    </row>
    <row r="93" spans="7:31">
      <c r="AE93" t="s">
        <v>178</v>
      </c>
    </row>
  </sheetData>
  <mergeCells count="32">
    <mergeCell ref="AF66:AI66"/>
    <mergeCell ref="O70:O71"/>
    <mergeCell ref="P70:R70"/>
    <mergeCell ref="AK46:AO46"/>
    <mergeCell ref="O30:P30"/>
    <mergeCell ref="AA51:AB51"/>
    <mergeCell ref="AE50:AF50"/>
    <mergeCell ref="J53:K53"/>
    <mergeCell ref="N45:T45"/>
    <mergeCell ref="O64:O67"/>
    <mergeCell ref="O53:U53"/>
    <mergeCell ref="R54:R55"/>
    <mergeCell ref="J55:K55"/>
    <mergeCell ref="J54:K54"/>
    <mergeCell ref="J57:K57"/>
    <mergeCell ref="O54:O55"/>
    <mergeCell ref="S54:U54"/>
    <mergeCell ref="O56:O59"/>
    <mergeCell ref="Q54:Q55"/>
    <mergeCell ref="O60:O63"/>
    <mergeCell ref="C2:G2"/>
    <mergeCell ref="C7:G7"/>
    <mergeCell ref="C13:H13"/>
    <mergeCell ref="C18:H18"/>
    <mergeCell ref="M13:N13"/>
    <mergeCell ref="I7:M7"/>
    <mergeCell ref="E44:H44"/>
    <mergeCell ref="O20:V20"/>
    <mergeCell ref="N35:R35"/>
    <mergeCell ref="C26:D26"/>
    <mergeCell ref="U35:W35"/>
    <mergeCell ref="E25:I25"/>
  </mergeCells>
  <pageMargins left="0.511811024" right="0.511811024" top="0.78740157499999996" bottom="0.78740157499999996" header="0.31496062000000002" footer="0.31496062000000002"/>
  <pageSetup paperSize="9" orientation="portrait" horizontalDpi="203" verticalDpi="203" r:id="rId1"/>
  <ignoredErrors>
    <ignoredError sqref="Q3:Q5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085D1-428D-43E4-BB11-3920F4DCAD65}">
  <sheetPr codeName="Planilha4"/>
  <dimension ref="B1:L20"/>
  <sheetViews>
    <sheetView showGridLines="0" zoomScale="85" zoomScaleNormal="85" workbookViewId="0"/>
  </sheetViews>
  <sheetFormatPr defaultRowHeight="14.5"/>
  <cols>
    <col min="1" max="1" width="8.7265625" style="115"/>
    <col min="2" max="2" width="7.36328125" style="115" bestFit="1" customWidth="1"/>
    <col min="3" max="3" width="8.81640625" style="115" bestFit="1" customWidth="1"/>
    <col min="4" max="4" width="8.90625" style="115" bestFit="1" customWidth="1"/>
    <col min="5" max="5" width="8.54296875" style="115" bestFit="1" customWidth="1"/>
    <col min="6" max="8" width="7.36328125" style="115" bestFit="1" customWidth="1"/>
    <col min="9" max="9" width="5.54296875" style="115" bestFit="1" customWidth="1"/>
    <col min="10" max="11" width="10.453125" style="115" bestFit="1" customWidth="1"/>
    <col min="12" max="13" width="10.90625" style="115" bestFit="1" customWidth="1"/>
    <col min="14" max="16384" width="8.7265625" style="115"/>
  </cols>
  <sheetData>
    <row r="1" spans="2:7" ht="15" thickBot="1">
      <c r="B1" s="464"/>
      <c r="C1" s="464"/>
      <c r="D1" s="464"/>
      <c r="E1" s="464"/>
      <c r="F1" s="464"/>
    </row>
    <row r="2" spans="2:7" ht="15" thickBot="1">
      <c r="B2" s="465" t="s">
        <v>0</v>
      </c>
      <c r="C2" s="466"/>
      <c r="D2" s="466"/>
      <c r="E2" s="466"/>
      <c r="F2" s="467"/>
    </row>
    <row r="3" spans="2:7">
      <c r="B3" s="297" t="s">
        <v>2</v>
      </c>
      <c r="C3" s="298" t="s">
        <v>3</v>
      </c>
      <c r="D3" s="298" t="s">
        <v>305</v>
      </c>
      <c r="E3" s="298" t="s">
        <v>5</v>
      </c>
      <c r="F3" s="299" t="s">
        <v>6</v>
      </c>
    </row>
    <row r="4" spans="2:7" ht="15" thickBot="1">
      <c r="B4" s="277">
        <v>0.4012</v>
      </c>
      <c r="C4" s="300">
        <v>10.18</v>
      </c>
      <c r="D4" s="301">
        <v>0.50839999999999996</v>
      </c>
      <c r="E4" s="302">
        <v>1.4</v>
      </c>
      <c r="F4" s="302">
        <f>(C4*D4*E4)/B4</f>
        <v>18.060111665004982</v>
      </c>
    </row>
    <row r="5" spans="2:7" ht="15" thickBot="1"/>
    <row r="6" spans="2:7">
      <c r="B6" s="461" t="s">
        <v>21</v>
      </c>
      <c r="C6" s="462"/>
      <c r="D6" s="462"/>
      <c r="E6" s="462"/>
      <c r="F6" s="463"/>
    </row>
    <row r="7" spans="2:7">
      <c r="B7" s="309"/>
      <c r="C7" s="310" t="s">
        <v>74</v>
      </c>
      <c r="D7" s="310" t="s">
        <v>20</v>
      </c>
      <c r="E7" s="310"/>
      <c r="F7" s="311" t="s">
        <v>22</v>
      </c>
    </row>
    <row r="8" spans="2:7" ht="15" thickBot="1">
      <c r="B8" s="113">
        <v>0.50760000000000005</v>
      </c>
      <c r="C8" s="67">
        <v>51.113</v>
      </c>
      <c r="D8" s="67">
        <v>50.7592</v>
      </c>
      <c r="E8" s="67">
        <f>C8-D8</f>
        <v>0.35379999999999967</v>
      </c>
      <c r="F8" s="312">
        <f>(E8*13.74)/B8</f>
        <v>9.5768557919621653</v>
      </c>
    </row>
    <row r="9" spans="2:7" ht="15" thickBot="1">
      <c r="B9" s="464"/>
      <c r="C9" s="464"/>
      <c r="D9" s="464"/>
      <c r="E9" s="464"/>
      <c r="F9" s="464"/>
      <c r="G9" s="464"/>
    </row>
    <row r="10" spans="2:7">
      <c r="B10" s="458" t="s">
        <v>7</v>
      </c>
      <c r="C10" s="459"/>
      <c r="D10" s="459"/>
      <c r="E10" s="459"/>
      <c r="F10" s="459"/>
      <c r="G10" s="460"/>
    </row>
    <row r="11" spans="2:7">
      <c r="B11" s="303" t="s">
        <v>8</v>
      </c>
      <c r="C11" s="304" t="s">
        <v>19</v>
      </c>
      <c r="D11" s="304" t="s">
        <v>10</v>
      </c>
      <c r="E11" s="304" t="s">
        <v>20</v>
      </c>
      <c r="F11" s="304"/>
      <c r="G11" s="305" t="s">
        <v>13</v>
      </c>
    </row>
    <row r="12" spans="2:7" ht="15" thickBot="1">
      <c r="B12" s="113">
        <v>1.0344</v>
      </c>
      <c r="C12" s="67">
        <v>10</v>
      </c>
      <c r="D12" s="67">
        <v>47.577199999999998</v>
      </c>
      <c r="E12" s="67">
        <v>46.977899999999998</v>
      </c>
      <c r="F12" s="67">
        <f>D12-E12</f>
        <v>0.5992999999999995</v>
      </c>
      <c r="G12" s="121">
        <f>(F12*3.207)/(B12/250*C12)</f>
        <v>46.450964327146139</v>
      </c>
    </row>
    <row r="13" spans="2:7" ht="15" thickBot="1"/>
    <row r="14" spans="2:7">
      <c r="B14" s="458" t="s">
        <v>307</v>
      </c>
      <c r="C14" s="459"/>
      <c r="D14" s="459"/>
      <c r="E14" s="459"/>
      <c r="F14" s="459"/>
      <c r="G14" s="460"/>
    </row>
    <row r="15" spans="2:7">
      <c r="B15" s="306" t="s">
        <v>8</v>
      </c>
      <c r="C15" s="307" t="s">
        <v>15</v>
      </c>
      <c r="D15" s="307" t="s">
        <v>16</v>
      </c>
      <c r="E15" s="307" t="s">
        <v>9</v>
      </c>
      <c r="F15" s="307" t="s">
        <v>17</v>
      </c>
      <c r="G15" s="308" t="s">
        <v>18</v>
      </c>
    </row>
    <row r="16" spans="2:7" ht="15" thickBot="1">
      <c r="B16" s="113">
        <v>1.0262</v>
      </c>
      <c r="C16" s="67">
        <v>250</v>
      </c>
      <c r="D16" s="67">
        <v>100</v>
      </c>
      <c r="E16" s="67">
        <v>4</v>
      </c>
      <c r="F16" s="67">
        <v>27.85</v>
      </c>
      <c r="G16" s="121">
        <f>IF(B16="","",((F16*(C16*D16)*POWER(10,-4))/(E16*B16))*1.205)</f>
        <v>20.439028698109528</v>
      </c>
    </row>
    <row r="17" spans="2:12" ht="15" thickBot="1"/>
    <row r="18" spans="2:12">
      <c r="B18" s="355" t="s">
        <v>23</v>
      </c>
      <c r="C18" s="356"/>
      <c r="D18" s="356"/>
      <c r="E18" s="356"/>
      <c r="F18" s="356"/>
      <c r="G18" s="356"/>
      <c r="H18" s="356"/>
      <c r="I18" s="356"/>
      <c r="J18" s="356"/>
      <c r="K18" s="356"/>
      <c r="L18" s="357"/>
    </row>
    <row r="19" spans="2:12">
      <c r="B19" s="166" t="s">
        <v>308</v>
      </c>
      <c r="C19" s="167" t="s">
        <v>309</v>
      </c>
      <c r="D19" s="130" t="s">
        <v>310</v>
      </c>
      <c r="E19" s="130" t="s">
        <v>311</v>
      </c>
      <c r="F19" s="130" t="s">
        <v>17</v>
      </c>
      <c r="G19" s="130" t="s">
        <v>2</v>
      </c>
      <c r="H19" s="130" t="s">
        <v>312</v>
      </c>
      <c r="I19" s="130" t="s">
        <v>313</v>
      </c>
      <c r="J19" s="130" t="s">
        <v>314</v>
      </c>
      <c r="K19" s="130" t="s">
        <v>315</v>
      </c>
      <c r="L19" s="131" t="s">
        <v>316</v>
      </c>
    </row>
    <row r="20" spans="2:12">
      <c r="B20" s="65">
        <v>250</v>
      </c>
      <c r="C20" s="65">
        <v>100</v>
      </c>
      <c r="D20" s="117">
        <f>IFERROR(B20/C20,"")</f>
        <v>2.5</v>
      </c>
      <c r="E20" s="65">
        <v>10</v>
      </c>
      <c r="F20" s="94">
        <v>1.49</v>
      </c>
      <c r="G20" s="65">
        <v>1.0234000000000001</v>
      </c>
      <c r="H20" s="123">
        <f>IFERROR((F20*D20)/(E20)/(G20),"")</f>
        <v>0.36398280242329489</v>
      </c>
      <c r="I20" s="65">
        <v>1.5</v>
      </c>
      <c r="J20" s="65">
        <v>1.53</v>
      </c>
      <c r="K20" s="123">
        <f>IFERROR(I20/J20,"")</f>
        <v>0.98039215686274506</v>
      </c>
      <c r="L20" s="139">
        <f>IFERROR(K20*H20,"")</f>
        <v>0.35684588472872047</v>
      </c>
    </row>
  </sheetData>
  <mergeCells count="7">
    <mergeCell ref="B18:L18"/>
    <mergeCell ref="B14:G14"/>
    <mergeCell ref="B6:F6"/>
    <mergeCell ref="B1:F1"/>
    <mergeCell ref="B2:F2"/>
    <mergeCell ref="B9:G9"/>
    <mergeCell ref="B10:G10"/>
  </mergeCells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4A33C-4E70-4974-91D8-F6090744949E}">
  <sheetPr codeName="Planilha9"/>
  <dimension ref="A1:AK77"/>
  <sheetViews>
    <sheetView showGridLines="0" zoomScale="70" zoomScaleNormal="70" workbookViewId="0"/>
  </sheetViews>
  <sheetFormatPr defaultRowHeight="14.5"/>
  <cols>
    <col min="1" max="1" width="8.7265625" style="115"/>
    <col min="2" max="2" width="10.54296875" style="115" customWidth="1"/>
    <col min="3" max="3" width="11.54296875" style="115" customWidth="1"/>
    <col min="4" max="7" width="8.7265625" style="115"/>
    <col min="8" max="8" width="10.1796875" style="115" bestFit="1" customWidth="1"/>
    <col min="9" max="9" width="11.7265625" style="115" customWidth="1"/>
    <col min="10" max="10" width="10" style="115" bestFit="1" customWidth="1"/>
    <col min="11" max="11" width="8.7265625" style="115"/>
    <col min="12" max="13" width="10.81640625" style="115" bestFit="1" customWidth="1"/>
    <col min="14" max="17" width="8.7265625" style="115"/>
    <col min="18" max="18" width="11.7265625" style="115" customWidth="1"/>
    <col min="19" max="19" width="10.1796875" style="115" bestFit="1" customWidth="1"/>
    <col min="20" max="20" width="8.7265625" style="115"/>
    <col min="21" max="22" width="11" style="115" bestFit="1" customWidth="1"/>
    <col min="23" max="24" width="8.7265625" style="115"/>
    <col min="25" max="25" width="10.54296875" style="115" customWidth="1"/>
    <col min="26" max="28" width="8.7265625" style="115"/>
    <col min="29" max="29" width="16.7265625" style="115" bestFit="1" customWidth="1"/>
    <col min="30" max="30" width="12" style="115" bestFit="1" customWidth="1"/>
    <col min="31" max="31" width="27.26953125" style="115" bestFit="1" customWidth="1"/>
    <col min="32" max="32" width="16.54296875" style="115" bestFit="1" customWidth="1"/>
    <col min="33" max="33" width="6.26953125" style="115" bestFit="1" customWidth="1"/>
    <col min="34" max="34" width="16.54296875" style="115" bestFit="1" customWidth="1"/>
    <col min="35" max="35" width="20.7265625" style="115" bestFit="1" customWidth="1"/>
    <col min="36" max="36" width="20.7265625" style="115" customWidth="1"/>
    <col min="37" max="37" width="9.54296875" style="115" customWidth="1"/>
    <col min="38" max="16384" width="8.7265625" style="115"/>
  </cols>
  <sheetData>
    <row r="1" spans="6:37">
      <c r="K1" s="468" t="s">
        <v>290</v>
      </c>
      <c r="L1" s="468"/>
      <c r="M1" s="468"/>
      <c r="N1" s="468"/>
      <c r="O1" s="468"/>
      <c r="P1" s="468"/>
      <c r="Q1" s="468"/>
      <c r="R1" s="468"/>
      <c r="S1" s="468"/>
      <c r="T1" s="468"/>
      <c r="U1" s="468"/>
      <c r="V1" s="468"/>
      <c r="W1" s="468"/>
      <c r="X1" s="468"/>
      <c r="Y1" s="468"/>
      <c r="Z1" s="468"/>
      <c r="AA1" s="468"/>
    </row>
    <row r="2" spans="6:37">
      <c r="K2" s="468"/>
      <c r="L2" s="468"/>
      <c r="M2" s="468"/>
      <c r="N2" s="468"/>
      <c r="O2" s="468"/>
      <c r="P2" s="468"/>
      <c r="Q2" s="468"/>
      <c r="R2" s="468"/>
      <c r="S2" s="468"/>
      <c r="T2" s="468"/>
      <c r="U2" s="468"/>
      <c r="V2" s="468"/>
      <c r="W2" s="468"/>
      <c r="X2" s="468"/>
      <c r="Y2" s="468"/>
      <c r="Z2" s="468"/>
      <c r="AA2" s="468"/>
    </row>
    <row r="3" spans="6:37">
      <c r="K3" s="468"/>
      <c r="L3" s="468"/>
      <c r="M3" s="468"/>
      <c r="N3" s="468"/>
      <c r="O3" s="468"/>
      <c r="P3" s="468"/>
      <c r="Q3" s="468"/>
      <c r="R3" s="468"/>
      <c r="S3" s="468"/>
      <c r="T3" s="468"/>
      <c r="U3" s="468"/>
      <c r="V3" s="468"/>
      <c r="W3" s="468"/>
      <c r="X3" s="468"/>
      <c r="Y3" s="468"/>
      <c r="Z3" s="468"/>
      <c r="AA3" s="468"/>
    </row>
    <row r="4" spans="6:37" ht="15" thickBot="1">
      <c r="F4" s="471" t="s">
        <v>298</v>
      </c>
      <c r="G4" s="472"/>
      <c r="H4" s="472"/>
      <c r="I4" s="472"/>
      <c r="O4" s="471" t="s">
        <v>261</v>
      </c>
      <c r="P4" s="472"/>
      <c r="Q4" s="472"/>
      <c r="R4" s="472"/>
      <c r="V4" s="471" t="s">
        <v>260</v>
      </c>
      <c r="W4" s="472"/>
      <c r="X4" s="472"/>
      <c r="Y4" s="472"/>
      <c r="AC4" s="476" t="s">
        <v>289</v>
      </c>
      <c r="AD4" s="477"/>
      <c r="AE4" s="477"/>
      <c r="AF4" s="477"/>
      <c r="AG4" s="477"/>
      <c r="AH4" s="477"/>
      <c r="AI4" s="477"/>
      <c r="AJ4" s="477"/>
      <c r="AK4" s="477"/>
    </row>
    <row r="5" spans="6:37" ht="45.75" customHeight="1" thickBot="1">
      <c r="F5" s="242" t="s">
        <v>256</v>
      </c>
      <c r="G5" s="241" t="s">
        <v>255</v>
      </c>
      <c r="H5" s="240" t="s">
        <v>254</v>
      </c>
      <c r="I5" s="240" t="s">
        <v>253</v>
      </c>
      <c r="O5" s="242" t="s">
        <v>256</v>
      </c>
      <c r="P5" s="241" t="s">
        <v>255</v>
      </c>
      <c r="Q5" s="240" t="s">
        <v>254</v>
      </c>
      <c r="R5" s="240" t="s">
        <v>253</v>
      </c>
      <c r="V5" s="242" t="s">
        <v>256</v>
      </c>
      <c r="W5" s="241" t="s">
        <v>255</v>
      </c>
      <c r="X5" s="240" t="s">
        <v>254</v>
      </c>
      <c r="Y5" s="240" t="s">
        <v>253</v>
      </c>
      <c r="AC5" s="478" t="s">
        <v>56</v>
      </c>
      <c r="AD5" s="479"/>
      <c r="AE5" s="479"/>
      <c r="AF5" s="479"/>
      <c r="AG5" s="480"/>
      <c r="AH5" s="478" t="s">
        <v>288</v>
      </c>
      <c r="AI5" s="479"/>
      <c r="AJ5" s="479"/>
      <c r="AK5" s="480"/>
    </row>
    <row r="6" spans="6:37" ht="15" thickBot="1">
      <c r="F6" s="142" t="s">
        <v>294</v>
      </c>
      <c r="G6" s="143">
        <v>0.3</v>
      </c>
      <c r="H6" s="239">
        <f t="shared" ref="H6:H14" si="0">G6/$G$15*100</f>
        <v>0.17482517482517482</v>
      </c>
      <c r="I6" s="143">
        <f>G6</f>
        <v>0.3</v>
      </c>
      <c r="O6" s="142" t="s">
        <v>39</v>
      </c>
      <c r="P6" s="143">
        <v>0</v>
      </c>
      <c r="Q6" s="239">
        <f t="shared" ref="Q6:Q11" si="1">P6/$P$13*100</f>
        <v>0</v>
      </c>
      <c r="R6" s="143">
        <f>P6</f>
        <v>0</v>
      </c>
      <c r="V6" s="142" t="s">
        <v>39</v>
      </c>
      <c r="W6" s="143">
        <v>8.5</v>
      </c>
      <c r="X6" s="239">
        <f t="shared" ref="X6:X11" si="2">W6/$W$13*100</f>
        <v>5.9565522074281718</v>
      </c>
      <c r="Y6" s="143">
        <f>W6</f>
        <v>8.5</v>
      </c>
      <c r="AC6" s="250" t="s">
        <v>287</v>
      </c>
      <c r="AD6" s="250" t="s">
        <v>286</v>
      </c>
      <c r="AE6" s="250" t="s">
        <v>293</v>
      </c>
      <c r="AF6" s="250" t="s">
        <v>285</v>
      </c>
      <c r="AG6" s="250" t="s">
        <v>281</v>
      </c>
      <c r="AH6" s="250" t="s">
        <v>284</v>
      </c>
      <c r="AI6" s="250" t="s">
        <v>283</v>
      </c>
      <c r="AJ6" s="250" t="s">
        <v>282</v>
      </c>
      <c r="AK6" s="250" t="s">
        <v>281</v>
      </c>
    </row>
    <row r="7" spans="6:37">
      <c r="F7" s="142" t="s">
        <v>40</v>
      </c>
      <c r="G7" s="143">
        <v>7.2</v>
      </c>
      <c r="H7" s="239">
        <f t="shared" si="0"/>
        <v>4.1958041958041958</v>
      </c>
      <c r="I7" s="143">
        <f>SUM($G$6:G7)</f>
        <v>7.5</v>
      </c>
      <c r="O7" s="142" t="s">
        <v>40</v>
      </c>
      <c r="P7" s="143">
        <v>14.5</v>
      </c>
      <c r="Q7" s="239">
        <f t="shared" si="1"/>
        <v>10.514865844815082</v>
      </c>
      <c r="R7" s="143">
        <f>SUM($P$6:P7)</f>
        <v>14.5</v>
      </c>
      <c r="V7" s="142" t="s">
        <v>40</v>
      </c>
      <c r="W7" s="143">
        <v>130.19999999999999</v>
      </c>
      <c r="X7" s="239">
        <f t="shared" si="2"/>
        <v>91.240364400840917</v>
      </c>
      <c r="Y7" s="143">
        <f>SUM($W$6:W7)</f>
        <v>138.69999999999999</v>
      </c>
      <c r="AC7" s="143">
        <v>50.215400000000002</v>
      </c>
      <c r="AD7" s="143">
        <v>10.661099999999999</v>
      </c>
      <c r="AE7" s="143">
        <f>SUM(AC7,AD7)</f>
        <v>60.8765</v>
      </c>
      <c r="AF7" s="143">
        <v>60.859099999999998</v>
      </c>
      <c r="AG7" s="243">
        <f>IF(AC7="","",100-((AF7-AC7)/(AD7)*100))</f>
        <v>0.16321017531028303</v>
      </c>
      <c r="AH7" s="143">
        <v>85.203500000000005</v>
      </c>
      <c r="AI7" s="143">
        <v>15.051500000000001</v>
      </c>
      <c r="AJ7" s="143">
        <f>SUM(AH7,AI7)</f>
        <v>100.25500000000001</v>
      </c>
      <c r="AK7" s="243">
        <f>IF(AH7="","",(AH7)/(AH7+AI7)*100)</f>
        <v>84.986783701561023</v>
      </c>
    </row>
    <row r="8" spans="6:37">
      <c r="F8" s="142" t="s">
        <v>295</v>
      </c>
      <c r="G8" s="143">
        <v>23</v>
      </c>
      <c r="H8" s="239">
        <f t="shared" si="0"/>
        <v>13.403263403263404</v>
      </c>
      <c r="I8" s="143">
        <f>SUM($G$6:G8)</f>
        <v>30.5</v>
      </c>
      <c r="O8" s="142" t="s">
        <v>43</v>
      </c>
      <c r="P8" s="143">
        <v>120.9</v>
      </c>
      <c r="Q8" s="239">
        <f t="shared" si="1"/>
        <v>87.672226250906462</v>
      </c>
      <c r="R8" s="143">
        <f>SUM($P$6:P8)</f>
        <v>135.4</v>
      </c>
      <c r="V8" s="142" t="s">
        <v>43</v>
      </c>
      <c r="W8" s="143">
        <v>4</v>
      </c>
      <c r="X8" s="239">
        <f t="shared" si="2"/>
        <v>2.8030833917309042</v>
      </c>
      <c r="Y8" s="143">
        <f>SUM($W$6:W8)</f>
        <v>142.69999999999999</v>
      </c>
      <c r="AF8" s="115" t="s">
        <v>292</v>
      </c>
    </row>
    <row r="9" spans="6:37">
      <c r="F9" s="142" t="s">
        <v>45</v>
      </c>
      <c r="G9" s="143">
        <v>29.1</v>
      </c>
      <c r="H9" s="239">
        <f t="shared" si="0"/>
        <v>16.95804195804196</v>
      </c>
      <c r="I9" s="143">
        <f>SUM($G$6:G9)</f>
        <v>59.6</v>
      </c>
      <c r="O9" s="142" t="s">
        <v>46</v>
      </c>
      <c r="P9" s="143">
        <v>2.5</v>
      </c>
      <c r="Q9" s="239">
        <f t="shared" si="1"/>
        <v>1.8129079042784626</v>
      </c>
      <c r="R9" s="143">
        <f>SUM($P$6:P9)</f>
        <v>137.9</v>
      </c>
      <c r="V9" s="142" t="s">
        <v>46</v>
      </c>
      <c r="W9" s="143">
        <v>0</v>
      </c>
      <c r="X9" s="239">
        <f t="shared" si="2"/>
        <v>0</v>
      </c>
      <c r="Y9" s="143">
        <f>SUM($W$6:W9)</f>
        <v>142.69999999999999</v>
      </c>
    </row>
    <row r="10" spans="6:37">
      <c r="F10" s="142" t="s">
        <v>43</v>
      </c>
      <c r="G10" s="143">
        <v>102.4</v>
      </c>
      <c r="H10" s="239">
        <f t="shared" si="0"/>
        <v>59.673659673659671</v>
      </c>
      <c r="I10" s="143">
        <f>SUM($G$6:G10)</f>
        <v>162</v>
      </c>
      <c r="O10" s="142" t="s">
        <v>48</v>
      </c>
      <c r="P10" s="143">
        <v>0</v>
      </c>
      <c r="Q10" s="239">
        <f t="shared" si="1"/>
        <v>0</v>
      </c>
      <c r="R10" s="143">
        <f>SUM($P$6:P10)</f>
        <v>137.9</v>
      </c>
      <c r="V10" s="142" t="s">
        <v>48</v>
      </c>
      <c r="W10" s="143">
        <v>0</v>
      </c>
      <c r="X10" s="239">
        <f t="shared" si="2"/>
        <v>0</v>
      </c>
      <c r="Y10" s="143">
        <f>SUM($W$6:W10)</f>
        <v>142.69999999999999</v>
      </c>
    </row>
    <row r="11" spans="6:37">
      <c r="F11" s="142" t="s">
        <v>296</v>
      </c>
      <c r="G11" s="143">
        <v>9.6</v>
      </c>
      <c r="H11" s="239">
        <f t="shared" si="0"/>
        <v>5.5944055944055942</v>
      </c>
      <c r="I11" s="143">
        <f>SUM($G$6:G11)</f>
        <v>171.6</v>
      </c>
      <c r="O11" s="142" t="s">
        <v>49</v>
      </c>
      <c r="P11" s="143">
        <v>0</v>
      </c>
      <c r="Q11" s="239">
        <f t="shared" si="1"/>
        <v>0</v>
      </c>
      <c r="R11" s="143">
        <f>SUM($P$6:P11)</f>
        <v>137.9</v>
      </c>
      <c r="V11" s="142" t="s">
        <v>49</v>
      </c>
      <c r="W11" s="143">
        <v>0</v>
      </c>
      <c r="X11" s="239">
        <f t="shared" si="2"/>
        <v>0</v>
      </c>
      <c r="Y11" s="143">
        <f>SUM($W$6:W11)</f>
        <v>142.69999999999999</v>
      </c>
    </row>
    <row r="12" spans="6:37">
      <c r="F12" s="142" t="s">
        <v>297</v>
      </c>
      <c r="G12" s="143">
        <v>0</v>
      </c>
      <c r="H12" s="239">
        <f t="shared" si="0"/>
        <v>0</v>
      </c>
      <c r="I12" s="143">
        <f>SUM($G$6:G12)</f>
        <v>171.6</v>
      </c>
      <c r="O12" s="258"/>
      <c r="P12" s="259"/>
      <c r="Q12" s="260"/>
      <c r="R12" s="261"/>
      <c r="V12" s="258"/>
      <c r="W12" s="259"/>
      <c r="X12" s="260"/>
      <c r="Y12" s="261"/>
    </row>
    <row r="13" spans="6:37" ht="15" thickBot="1">
      <c r="F13" s="142" t="s">
        <v>48</v>
      </c>
      <c r="G13" s="143">
        <v>0</v>
      </c>
      <c r="H13" s="239">
        <f>G13/$G$15*100</f>
        <v>0</v>
      </c>
      <c r="I13" s="143">
        <f>SUM($G$6:G13)</f>
        <v>171.6</v>
      </c>
      <c r="O13" s="152" t="s">
        <v>51</v>
      </c>
      <c r="P13" s="238">
        <f>SUM(P6:P11)</f>
        <v>137.9</v>
      </c>
      <c r="Q13" s="237">
        <f>SUM(Q6:Q11)</f>
        <v>100</v>
      </c>
      <c r="R13" s="236"/>
      <c r="V13" s="152" t="s">
        <v>51</v>
      </c>
      <c r="W13" s="238">
        <f>SUM(W6:W11)</f>
        <v>142.69999999999999</v>
      </c>
      <c r="X13" s="237">
        <f>SUM(X6:X11)</f>
        <v>100</v>
      </c>
      <c r="Y13" s="236"/>
    </row>
    <row r="14" spans="6:37">
      <c r="F14" s="142" t="s">
        <v>49</v>
      </c>
      <c r="G14" s="143">
        <v>0</v>
      </c>
      <c r="H14" s="239">
        <f t="shared" si="0"/>
        <v>0</v>
      </c>
      <c r="I14" s="143">
        <f>SUM($G$6:G14)</f>
        <v>171.6</v>
      </c>
    </row>
    <row r="15" spans="6:37" ht="15" thickBot="1">
      <c r="F15" s="152" t="s">
        <v>51</v>
      </c>
      <c r="G15" s="238">
        <f>SUM(G6:G14)</f>
        <v>171.6</v>
      </c>
      <c r="H15" s="237">
        <f>SUM(H6:H14)</f>
        <v>100</v>
      </c>
      <c r="I15" s="236"/>
    </row>
    <row r="17" spans="2:31" s="285" customFormat="1">
      <c r="E17" s="286"/>
    </row>
    <row r="20" spans="2:31" ht="15" thickBot="1">
      <c r="F20" s="471" t="s">
        <v>280</v>
      </c>
      <c r="G20" s="472"/>
      <c r="H20" s="472"/>
      <c r="I20" s="472"/>
      <c r="O20" s="471" t="s">
        <v>279</v>
      </c>
      <c r="P20" s="472"/>
      <c r="Q20" s="472"/>
      <c r="R20" s="472"/>
      <c r="V20" s="471" t="s">
        <v>278</v>
      </c>
      <c r="W20" s="472"/>
      <c r="X20" s="472"/>
      <c r="Y20" s="472"/>
    </row>
    <row r="21" spans="2:31" ht="44" thickBot="1">
      <c r="B21" s="242" t="s">
        <v>277</v>
      </c>
      <c r="C21" s="242" t="s">
        <v>276</v>
      </c>
      <c r="D21" s="242" t="s">
        <v>275</v>
      </c>
      <c r="F21" s="242" t="s">
        <v>256</v>
      </c>
      <c r="G21" s="241" t="s">
        <v>255</v>
      </c>
      <c r="H21" s="240" t="s">
        <v>254</v>
      </c>
      <c r="I21" s="240" t="s">
        <v>253</v>
      </c>
      <c r="J21" s="249"/>
      <c r="K21" s="249"/>
      <c r="O21" s="242" t="s">
        <v>256</v>
      </c>
      <c r="P21" s="241" t="s">
        <v>255</v>
      </c>
      <c r="Q21" s="240" t="s">
        <v>254</v>
      </c>
      <c r="R21" s="240" t="s">
        <v>253</v>
      </c>
      <c r="V21" s="242" t="s">
        <v>256</v>
      </c>
      <c r="W21" s="241" t="s">
        <v>255</v>
      </c>
      <c r="X21" s="240" t="s">
        <v>254</v>
      </c>
      <c r="Y21" s="240" t="s">
        <v>253</v>
      </c>
      <c r="AE21" s="115">
        <f>200.8/230</f>
        <v>0.87304347826086959</v>
      </c>
    </row>
    <row r="22" spans="2:31">
      <c r="B22" s="184">
        <f>SUM(Q26)</f>
        <v>90.965732087227408</v>
      </c>
      <c r="C22" s="184">
        <f>SUM(H24:H25)</f>
        <v>0.66864784546805356</v>
      </c>
      <c r="D22" s="184">
        <f>SUM(X22:X25)</f>
        <v>9.034267912772588</v>
      </c>
      <c r="F22" s="142" t="s">
        <v>39</v>
      </c>
      <c r="G22" s="143">
        <v>0</v>
      </c>
      <c r="H22" s="239">
        <f t="shared" ref="H22:H28" si="3">G22/$G$29*100</f>
        <v>0</v>
      </c>
      <c r="I22" s="143">
        <f>G22</f>
        <v>0</v>
      </c>
      <c r="O22" s="142" t="s">
        <v>39</v>
      </c>
      <c r="P22" s="143">
        <v>0</v>
      </c>
      <c r="Q22" s="239">
        <f t="shared" ref="Q22:Q29" si="4">P22/$P$30*100</f>
        <v>0</v>
      </c>
      <c r="R22" s="143">
        <f>P22</f>
        <v>0</v>
      </c>
      <c r="V22" s="142" t="s">
        <v>39</v>
      </c>
      <c r="W22" s="143">
        <v>0</v>
      </c>
      <c r="X22" s="239">
        <f t="shared" ref="X22:X29" si="5">W22/$P$30*100</f>
        <v>0</v>
      </c>
      <c r="Y22" s="143">
        <f>W22</f>
        <v>0</v>
      </c>
    </row>
    <row r="23" spans="2:31">
      <c r="F23" s="142" t="s">
        <v>40</v>
      </c>
      <c r="G23" s="143">
        <v>0</v>
      </c>
      <c r="H23" s="239">
        <f t="shared" si="3"/>
        <v>0</v>
      </c>
      <c r="I23" s="143">
        <f>SUM($G$22:G23)</f>
        <v>0</v>
      </c>
      <c r="O23" s="142" t="s">
        <v>41</v>
      </c>
      <c r="P23" s="143">
        <v>2.9</v>
      </c>
      <c r="Q23" s="239">
        <f t="shared" si="4"/>
        <v>0.75285565939771548</v>
      </c>
      <c r="R23" s="143">
        <f>SUM($P$22:P23)</f>
        <v>2.9</v>
      </c>
      <c r="V23" s="142" t="s">
        <v>41</v>
      </c>
      <c r="W23" s="143">
        <v>2.9</v>
      </c>
      <c r="X23" s="239">
        <f t="shared" si="5"/>
        <v>0.75285565939771548</v>
      </c>
      <c r="Y23" s="143">
        <f>SUM($W$22:W23)</f>
        <v>2.9</v>
      </c>
    </row>
    <row r="24" spans="2:31">
      <c r="F24" s="142" t="s">
        <v>45</v>
      </c>
      <c r="G24" s="143">
        <v>0</v>
      </c>
      <c r="H24" s="239">
        <f t="shared" si="3"/>
        <v>0</v>
      </c>
      <c r="I24" s="143">
        <f>SUM($G$22:G24)</f>
        <v>0</v>
      </c>
      <c r="O24" s="142" t="s">
        <v>193</v>
      </c>
      <c r="P24" s="143">
        <v>8.8000000000000007</v>
      </c>
      <c r="Q24" s="239">
        <f t="shared" si="4"/>
        <v>2.2845275181723785</v>
      </c>
      <c r="R24" s="143">
        <f>SUM($P$22:P24)</f>
        <v>11.700000000000001</v>
      </c>
      <c r="V24" s="142" t="s">
        <v>193</v>
      </c>
      <c r="W24" s="143">
        <v>8.8000000000000007</v>
      </c>
      <c r="X24" s="239">
        <f t="shared" si="5"/>
        <v>2.2845275181723785</v>
      </c>
      <c r="Y24" s="143">
        <f>SUM($W$22:W24)</f>
        <v>11.700000000000001</v>
      </c>
    </row>
    <row r="25" spans="2:31">
      <c r="F25" s="142" t="s">
        <v>43</v>
      </c>
      <c r="G25" s="143">
        <v>0.9</v>
      </c>
      <c r="H25" s="239">
        <f t="shared" si="3"/>
        <v>0.66864784546805356</v>
      </c>
      <c r="I25" s="143">
        <f>SUM($G$22:G25)</f>
        <v>0.9</v>
      </c>
      <c r="O25" s="142" t="s">
        <v>40</v>
      </c>
      <c r="P25" s="143">
        <v>23.1</v>
      </c>
      <c r="Q25" s="239">
        <f t="shared" si="4"/>
        <v>5.9968847352024932</v>
      </c>
      <c r="R25" s="143">
        <f>SUM($P$22:P25)</f>
        <v>34.800000000000004</v>
      </c>
      <c r="V25" s="142" t="s">
        <v>40</v>
      </c>
      <c r="W25" s="143">
        <v>23.1</v>
      </c>
      <c r="X25" s="239">
        <f t="shared" si="5"/>
        <v>5.9968847352024932</v>
      </c>
      <c r="Y25" s="143">
        <f>SUM($W$22:W25)</f>
        <v>34.800000000000004</v>
      </c>
    </row>
    <row r="26" spans="2:31">
      <c r="F26" s="142" t="s">
        <v>46</v>
      </c>
      <c r="G26" s="143">
        <v>24.1</v>
      </c>
      <c r="H26" s="239">
        <f t="shared" si="3"/>
        <v>17.904903417533436</v>
      </c>
      <c r="I26" s="143">
        <f>SUM($G$22:G26)</f>
        <v>25</v>
      </c>
      <c r="O26" s="142" t="s">
        <v>43</v>
      </c>
      <c r="P26" s="143">
        <v>350.4</v>
      </c>
      <c r="Q26" s="239">
        <f t="shared" si="4"/>
        <v>90.965732087227408</v>
      </c>
      <c r="R26" s="143">
        <f>SUM($P$22:P26)</f>
        <v>385.2</v>
      </c>
      <c r="V26" s="142" t="s">
        <v>43</v>
      </c>
      <c r="W26" s="143">
        <v>350.4</v>
      </c>
      <c r="X26" s="239">
        <f>W26/$P$30*100</f>
        <v>90.965732087227408</v>
      </c>
      <c r="Y26" s="143">
        <f>SUM($W$22:W26)</f>
        <v>385.2</v>
      </c>
    </row>
    <row r="27" spans="2:31">
      <c r="F27" s="142" t="s">
        <v>48</v>
      </c>
      <c r="G27" s="143">
        <v>59.5</v>
      </c>
      <c r="H27" s="239">
        <f t="shared" si="3"/>
        <v>44.205052005943543</v>
      </c>
      <c r="I27" s="143">
        <f>SUM($G$22:G27)</f>
        <v>84.5</v>
      </c>
      <c r="O27" s="142" t="s">
        <v>46</v>
      </c>
      <c r="P27" s="143">
        <v>0</v>
      </c>
      <c r="Q27" s="239">
        <f t="shared" si="4"/>
        <v>0</v>
      </c>
      <c r="R27" s="143">
        <f>SUM($P$22:P27)</f>
        <v>385.2</v>
      </c>
      <c r="V27" s="142" t="s">
        <v>46</v>
      </c>
      <c r="W27" s="143">
        <v>0</v>
      </c>
      <c r="X27" s="239">
        <f t="shared" si="5"/>
        <v>0</v>
      </c>
      <c r="Y27" s="143">
        <f>SUM($W$22:W27)</f>
        <v>385.2</v>
      </c>
    </row>
    <row r="28" spans="2:31">
      <c r="F28" s="142" t="s">
        <v>49</v>
      </c>
      <c r="G28" s="143">
        <v>50.1</v>
      </c>
      <c r="H28" s="239">
        <f t="shared" si="3"/>
        <v>37.22139673105498</v>
      </c>
      <c r="I28" s="143">
        <f>SUM($G$22:G28)</f>
        <v>134.6</v>
      </c>
      <c r="O28" s="142" t="s">
        <v>48</v>
      </c>
      <c r="P28" s="143">
        <v>0</v>
      </c>
      <c r="Q28" s="239">
        <f t="shared" si="4"/>
        <v>0</v>
      </c>
      <c r="R28" s="143">
        <f>SUM($P$22:P28)</f>
        <v>385.2</v>
      </c>
      <c r="V28" s="142" t="s">
        <v>48</v>
      </c>
      <c r="W28" s="143">
        <v>0</v>
      </c>
      <c r="X28" s="239">
        <f t="shared" si="5"/>
        <v>0</v>
      </c>
      <c r="Y28" s="143">
        <f>SUM($W$22:W28)</f>
        <v>385.2</v>
      </c>
    </row>
    <row r="29" spans="2:31" ht="15" thickBot="1">
      <c r="F29" s="152" t="s">
        <v>51</v>
      </c>
      <c r="G29" s="238">
        <f>SUM(G22:G28)</f>
        <v>134.6</v>
      </c>
      <c r="H29" s="237">
        <f>SUM(H22:H28)</f>
        <v>100.00000000000001</v>
      </c>
      <c r="I29" s="236"/>
      <c r="O29" s="142" t="s">
        <v>49</v>
      </c>
      <c r="P29" s="143">
        <v>0</v>
      </c>
      <c r="Q29" s="239">
        <f t="shared" si="4"/>
        <v>0</v>
      </c>
      <c r="R29" s="143">
        <f>SUM($P$22:P29)</f>
        <v>385.2</v>
      </c>
      <c r="V29" s="142" t="s">
        <v>49</v>
      </c>
      <c r="W29" s="143">
        <v>0</v>
      </c>
      <c r="X29" s="239">
        <f t="shared" si="5"/>
        <v>0</v>
      </c>
      <c r="Y29" s="143">
        <f>SUM($W$22:W29)</f>
        <v>385.2</v>
      </c>
    </row>
    <row r="30" spans="2:31">
      <c r="O30" s="248" t="s">
        <v>51</v>
      </c>
      <c r="P30" s="247">
        <f>SUM(P22:P29)</f>
        <v>385.2</v>
      </c>
      <c r="Q30" s="246">
        <f>SUM(Q22:Q29)</f>
        <v>100</v>
      </c>
      <c r="R30" s="245"/>
      <c r="V30" s="248" t="s">
        <v>51</v>
      </c>
      <c r="W30" s="247">
        <f>SUM(W22:W29)</f>
        <v>385.2</v>
      </c>
      <c r="X30" s="246">
        <f>SUM(X22:X29)</f>
        <v>100</v>
      </c>
      <c r="Y30" s="245"/>
    </row>
    <row r="31" spans="2:31" s="285" customFormat="1">
      <c r="E31" s="286"/>
    </row>
    <row r="33" spans="5:22" ht="15" thickBot="1">
      <c r="F33" s="476" t="s">
        <v>274</v>
      </c>
      <c r="G33" s="477"/>
      <c r="H33" s="477"/>
      <c r="I33" s="477"/>
      <c r="J33" s="477"/>
      <c r="K33" s="477"/>
      <c r="L33" s="477"/>
      <c r="M33" s="477"/>
      <c r="O33" s="476" t="s">
        <v>135</v>
      </c>
      <c r="P33" s="477"/>
      <c r="Q33" s="477"/>
      <c r="R33" s="477"/>
      <c r="S33" s="477"/>
      <c r="T33" s="477"/>
      <c r="U33" s="477"/>
      <c r="V33" s="477"/>
    </row>
    <row r="34" spans="5:22" ht="44" thickBot="1">
      <c r="F34" s="242" t="s">
        <v>256</v>
      </c>
      <c r="G34" s="241" t="s">
        <v>255</v>
      </c>
      <c r="H34" s="240" t="s">
        <v>254</v>
      </c>
      <c r="I34" s="240" t="s">
        <v>253</v>
      </c>
      <c r="J34" s="244" t="s">
        <v>273</v>
      </c>
      <c r="K34" s="244" t="s">
        <v>272</v>
      </c>
      <c r="L34" s="244" t="s">
        <v>271</v>
      </c>
      <c r="M34" s="244" t="s">
        <v>270</v>
      </c>
      <c r="O34" s="242" t="s">
        <v>256</v>
      </c>
      <c r="P34" s="241" t="s">
        <v>255</v>
      </c>
      <c r="Q34" s="240" t="s">
        <v>254</v>
      </c>
      <c r="R34" s="240" t="s">
        <v>253</v>
      </c>
      <c r="S34" s="244" t="s">
        <v>273</v>
      </c>
      <c r="T34" s="244" t="s">
        <v>272</v>
      </c>
      <c r="U34" s="244" t="s">
        <v>271</v>
      </c>
      <c r="V34" s="244" t="s">
        <v>270</v>
      </c>
    </row>
    <row r="35" spans="5:22">
      <c r="F35" s="142" t="s">
        <v>39</v>
      </c>
      <c r="G35" s="143">
        <v>0</v>
      </c>
      <c r="H35" s="239">
        <f t="shared" ref="H35:H42" si="6">G35/$G$43*100</f>
        <v>0</v>
      </c>
      <c r="I35" s="143">
        <f>G35</f>
        <v>0</v>
      </c>
      <c r="J35" s="243">
        <f>SUM(H36:H42)</f>
        <v>100</v>
      </c>
      <c r="K35" s="243">
        <f>SUM(H39:H42)</f>
        <v>91.544715447154474</v>
      </c>
      <c r="L35" s="243">
        <f>SUM(H40:H42)</f>
        <v>2.9810298102981028</v>
      </c>
      <c r="M35" s="243">
        <f>SUM(H42)</f>
        <v>0</v>
      </c>
      <c r="O35" s="142" t="s">
        <v>39</v>
      </c>
      <c r="P35" s="143">
        <v>0</v>
      </c>
      <c r="Q35" s="239">
        <f t="shared" ref="Q35:Q40" si="7">P35/$P$41*100</f>
        <v>0</v>
      </c>
      <c r="R35" s="143">
        <f>P35</f>
        <v>0</v>
      </c>
      <c r="S35" s="243">
        <f>SUM(Q36:Q40)</f>
        <v>100.00000000000003</v>
      </c>
      <c r="T35" s="243">
        <f>SUM(Q37:Q40)</f>
        <v>98.008711885500958</v>
      </c>
      <c r="U35" s="243">
        <f>SUM(Q38:Q40)</f>
        <v>0.74673304293714993</v>
      </c>
      <c r="V35" s="243">
        <f>SUM(Q40)</f>
        <v>0</v>
      </c>
    </row>
    <row r="36" spans="5:22">
      <c r="F36" s="142" t="s">
        <v>41</v>
      </c>
      <c r="G36" s="143">
        <v>0</v>
      </c>
      <c r="H36" s="239">
        <f t="shared" si="6"/>
        <v>0</v>
      </c>
      <c r="I36" s="143">
        <f>SUM(G$35:$G36)</f>
        <v>0</v>
      </c>
      <c r="J36" s="287" t="s">
        <v>268</v>
      </c>
      <c r="K36" s="287" t="s">
        <v>269</v>
      </c>
      <c r="L36" s="287" t="s">
        <v>266</v>
      </c>
      <c r="M36" s="287" t="s">
        <v>265</v>
      </c>
      <c r="O36" s="142" t="s">
        <v>40</v>
      </c>
      <c r="P36" s="143">
        <v>3.2</v>
      </c>
      <c r="Q36" s="239">
        <f t="shared" si="7"/>
        <v>1.9912881144990668</v>
      </c>
      <c r="R36" s="143">
        <f>SUM($P$35:P36)</f>
        <v>3.2</v>
      </c>
      <c r="S36" s="287" t="s">
        <v>268</v>
      </c>
      <c r="T36" s="287" t="s">
        <v>267</v>
      </c>
      <c r="U36" s="287" t="s">
        <v>266</v>
      </c>
      <c r="V36" s="287" t="s">
        <v>265</v>
      </c>
    </row>
    <row r="37" spans="5:22">
      <c r="F37" s="142" t="s">
        <v>193</v>
      </c>
      <c r="G37" s="143">
        <v>4.5999999999999996</v>
      </c>
      <c r="H37" s="239">
        <f t="shared" si="6"/>
        <v>2.4932249322493223</v>
      </c>
      <c r="I37" s="143">
        <f>SUM(G$35:$G37)</f>
        <v>4.5999999999999996</v>
      </c>
      <c r="J37" s="473" t="s">
        <v>137</v>
      </c>
      <c r="K37" s="474"/>
      <c r="L37" s="474"/>
      <c r="M37" s="475"/>
      <c r="O37" s="142" t="s">
        <v>43</v>
      </c>
      <c r="P37" s="143">
        <v>156.30000000000001</v>
      </c>
      <c r="Q37" s="239">
        <f t="shared" si="7"/>
        <v>97.261978842563806</v>
      </c>
      <c r="R37" s="143">
        <f>SUM($P$35:P37)</f>
        <v>159.5</v>
      </c>
      <c r="S37" s="473" t="s">
        <v>137</v>
      </c>
      <c r="T37" s="474"/>
      <c r="U37" s="474"/>
      <c r="V37" s="475"/>
    </row>
    <row r="38" spans="5:22">
      <c r="F38" s="142" t="s">
        <v>40</v>
      </c>
      <c r="G38" s="143">
        <v>11</v>
      </c>
      <c r="H38" s="239">
        <f t="shared" si="6"/>
        <v>5.9620596205962055</v>
      </c>
      <c r="I38" s="143">
        <f>SUM(G$35:$G38)</f>
        <v>15.6</v>
      </c>
      <c r="O38" s="142" t="s">
        <v>46</v>
      </c>
      <c r="P38" s="143">
        <v>1.2</v>
      </c>
      <c r="Q38" s="239">
        <f t="shared" si="7"/>
        <v>0.74673304293714993</v>
      </c>
      <c r="R38" s="143">
        <f>SUM($P$35:P38)</f>
        <v>160.69999999999999</v>
      </c>
    </row>
    <row r="39" spans="5:22">
      <c r="F39" s="142" t="s">
        <v>43</v>
      </c>
      <c r="G39" s="143">
        <v>163.4</v>
      </c>
      <c r="H39" s="239">
        <f t="shared" si="6"/>
        <v>88.563685636856377</v>
      </c>
      <c r="I39" s="143">
        <f>SUM(G$35:$G39)</f>
        <v>179</v>
      </c>
      <c r="O39" s="142" t="s">
        <v>48</v>
      </c>
      <c r="P39" s="143">
        <v>0</v>
      </c>
      <c r="Q39" s="239">
        <f t="shared" si="7"/>
        <v>0</v>
      </c>
      <c r="R39" s="143">
        <f>SUM($P$35:P39)</f>
        <v>160.69999999999999</v>
      </c>
    </row>
    <row r="40" spans="5:22">
      <c r="F40" s="142" t="s">
        <v>52</v>
      </c>
      <c r="G40" s="143">
        <v>5.5</v>
      </c>
      <c r="H40" s="239">
        <f t="shared" si="6"/>
        <v>2.9810298102981028</v>
      </c>
      <c r="I40" s="143">
        <f>SUM(G$35:$G40)</f>
        <v>184.5</v>
      </c>
      <c r="O40" s="142" t="s">
        <v>49</v>
      </c>
      <c r="P40" s="143">
        <v>0</v>
      </c>
      <c r="Q40" s="239">
        <f t="shared" si="7"/>
        <v>0</v>
      </c>
      <c r="R40" s="143">
        <f>SUM($P$35:P40)</f>
        <v>160.69999999999999</v>
      </c>
    </row>
    <row r="41" spans="5:22" ht="15" thickBot="1">
      <c r="F41" s="142" t="s">
        <v>48</v>
      </c>
      <c r="G41" s="143">
        <v>0</v>
      </c>
      <c r="H41" s="239">
        <f t="shared" si="6"/>
        <v>0</v>
      </c>
      <c r="I41" s="143">
        <f>SUM(G$35:$G41)</f>
        <v>184.5</v>
      </c>
      <c r="O41" s="152" t="s">
        <v>51</v>
      </c>
      <c r="P41" s="238">
        <f>SUM(P35:P40)</f>
        <v>160.69999999999999</v>
      </c>
      <c r="Q41" s="237">
        <f>SUM(Q35:Q40)</f>
        <v>100.00000000000003</v>
      </c>
      <c r="R41" s="236"/>
    </row>
    <row r="42" spans="5:22">
      <c r="F42" s="142" t="s">
        <v>49</v>
      </c>
      <c r="G42" s="143">
        <v>0</v>
      </c>
      <c r="H42" s="239">
        <f t="shared" si="6"/>
        <v>0</v>
      </c>
      <c r="I42" s="143">
        <f>SUM(G$35:$G42)</f>
        <v>184.5</v>
      </c>
    </row>
    <row r="43" spans="5:22" ht="15" thickBot="1">
      <c r="F43" s="152" t="s">
        <v>51</v>
      </c>
      <c r="G43" s="238">
        <f>SUM(G35:G42)</f>
        <v>184.5</v>
      </c>
      <c r="H43" s="237">
        <f>SUM(H35:H42)</f>
        <v>100</v>
      </c>
      <c r="I43" s="236"/>
    </row>
    <row r="46" spans="5:22" s="285" customFormat="1">
      <c r="E46" s="286"/>
    </row>
    <row r="47" spans="5:22">
      <c r="I47" s="469" t="s">
        <v>291</v>
      </c>
      <c r="J47" s="469"/>
      <c r="K47" s="469"/>
      <c r="L47" s="469"/>
      <c r="M47" s="469"/>
      <c r="N47" s="469"/>
      <c r="O47" s="469"/>
      <c r="P47" s="469"/>
      <c r="Q47" s="469"/>
      <c r="R47" s="469"/>
    </row>
    <row r="48" spans="5:22" ht="15" thickBot="1">
      <c r="I48" s="470"/>
      <c r="J48" s="470"/>
      <c r="K48" s="470"/>
      <c r="L48" s="470"/>
      <c r="M48" s="470"/>
      <c r="N48" s="470"/>
      <c r="O48" s="470"/>
      <c r="P48" s="470"/>
      <c r="Q48" s="470"/>
      <c r="R48" s="470"/>
    </row>
    <row r="49" spans="2:25" ht="29.5" thickBot="1">
      <c r="B49" s="242" t="s">
        <v>259</v>
      </c>
      <c r="C49" s="242" t="s">
        <v>258</v>
      </c>
      <c r="D49" s="242" t="s">
        <v>257</v>
      </c>
      <c r="F49" s="471" t="s">
        <v>264</v>
      </c>
      <c r="G49" s="472"/>
      <c r="H49" s="472"/>
      <c r="I49" s="472"/>
      <c r="O49" s="471" t="s">
        <v>263</v>
      </c>
      <c r="P49" s="472"/>
      <c r="Q49" s="472"/>
      <c r="R49" s="472"/>
      <c r="V49" s="471" t="s">
        <v>262</v>
      </c>
      <c r="W49" s="472"/>
      <c r="X49" s="472"/>
      <c r="Y49" s="472"/>
    </row>
    <row r="50" spans="2:25" ht="48.75" customHeight="1" thickBot="1">
      <c r="B50" s="184">
        <f>SUM(X53)</f>
        <v>42.192347466390899</v>
      </c>
      <c r="C50" s="184">
        <f>SUM(H53:H54)</f>
        <v>2.3968042609853533</v>
      </c>
      <c r="D50" s="184">
        <f>SUM(Q51:Q52)</f>
        <v>27.628716461203773</v>
      </c>
      <c r="F50" s="242" t="s">
        <v>256</v>
      </c>
      <c r="G50" s="241" t="s">
        <v>255</v>
      </c>
      <c r="H50" s="240" t="s">
        <v>254</v>
      </c>
      <c r="I50" s="240" t="s">
        <v>253</v>
      </c>
      <c r="O50" s="242" t="s">
        <v>256</v>
      </c>
      <c r="P50" s="241" t="s">
        <v>255</v>
      </c>
      <c r="Q50" s="240" t="s">
        <v>254</v>
      </c>
      <c r="R50" s="240" t="s">
        <v>253</v>
      </c>
      <c r="V50" s="242" t="s">
        <v>256</v>
      </c>
      <c r="W50" s="241" t="s">
        <v>255</v>
      </c>
      <c r="X50" s="240" t="s">
        <v>254</v>
      </c>
      <c r="Y50" s="240" t="s">
        <v>253</v>
      </c>
    </row>
    <row r="51" spans="2:25">
      <c r="F51" s="142" t="s">
        <v>39</v>
      </c>
      <c r="G51" s="143">
        <v>0</v>
      </c>
      <c r="H51" s="239">
        <f t="shared" ref="H51:H57" si="8">G51/$G$58*100</f>
        <v>0</v>
      </c>
      <c r="I51" s="143">
        <f>G51</f>
        <v>0</v>
      </c>
      <c r="O51" s="142" t="s">
        <v>39</v>
      </c>
      <c r="P51" s="143">
        <v>0.4</v>
      </c>
      <c r="Q51" s="239">
        <f t="shared" ref="Q51:Q56" si="9">P51/$P$13*100</f>
        <v>0.29006526468455401</v>
      </c>
      <c r="R51" s="143">
        <f>P51</f>
        <v>0.4</v>
      </c>
      <c r="V51" s="142" t="s">
        <v>39</v>
      </c>
      <c r="W51" s="143">
        <v>12.8</v>
      </c>
      <c r="X51" s="239">
        <f t="shared" ref="X51:X56" si="10">W51/$W$57*100</f>
        <v>2.647362978283351</v>
      </c>
      <c r="Y51" s="143">
        <f>W51</f>
        <v>12.8</v>
      </c>
    </row>
    <row r="52" spans="2:25">
      <c r="F52" s="142" t="s">
        <v>40</v>
      </c>
      <c r="G52" s="143">
        <v>0</v>
      </c>
      <c r="H52" s="239">
        <f t="shared" si="8"/>
        <v>0</v>
      </c>
      <c r="I52" s="143">
        <f>SUM($G$51:G52)</f>
        <v>0</v>
      </c>
      <c r="O52" s="142" t="s">
        <v>40</v>
      </c>
      <c r="P52" s="143">
        <v>37.700000000000003</v>
      </c>
      <c r="Q52" s="239">
        <f t="shared" si="9"/>
        <v>27.338651196519219</v>
      </c>
      <c r="R52" s="143">
        <f>SUM($P$51:P52)</f>
        <v>38.1</v>
      </c>
      <c r="V52" s="142" t="s">
        <v>40</v>
      </c>
      <c r="W52" s="143">
        <v>158</v>
      </c>
      <c r="X52" s="239">
        <f t="shared" si="10"/>
        <v>32.678386763185109</v>
      </c>
      <c r="Y52" s="143">
        <f>SUM($W$51:W52)</f>
        <v>170.8</v>
      </c>
    </row>
    <row r="53" spans="2:25">
      <c r="F53" s="142" t="s">
        <v>45</v>
      </c>
      <c r="G53" s="143">
        <v>0</v>
      </c>
      <c r="H53" s="239">
        <f t="shared" si="8"/>
        <v>0</v>
      </c>
      <c r="I53" s="143">
        <f>SUM($G$51:G53)</f>
        <v>0</v>
      </c>
      <c r="O53" s="142" t="s">
        <v>43</v>
      </c>
      <c r="P53" s="143">
        <v>344.9</v>
      </c>
      <c r="Q53" s="239">
        <f t="shared" si="9"/>
        <v>250.10877447425668</v>
      </c>
      <c r="R53" s="143">
        <f>SUM($P$51:P53)</f>
        <v>383</v>
      </c>
      <c r="V53" s="142" t="s">
        <v>43</v>
      </c>
      <c r="W53" s="143">
        <v>204</v>
      </c>
      <c r="X53" s="239">
        <f t="shared" si="10"/>
        <v>42.192347466390899</v>
      </c>
      <c r="Y53" s="143">
        <f>SUM($W$51:W53)</f>
        <v>374.8</v>
      </c>
    </row>
    <row r="54" spans="2:25">
      <c r="F54" s="142" t="s">
        <v>43</v>
      </c>
      <c r="G54" s="143">
        <v>3.6</v>
      </c>
      <c r="H54" s="239">
        <f t="shared" si="8"/>
        <v>2.3968042609853533</v>
      </c>
      <c r="I54" s="143">
        <f>SUM($G$51:G54)</f>
        <v>3.6</v>
      </c>
      <c r="O54" s="142" t="s">
        <v>46</v>
      </c>
      <c r="P54" s="143">
        <v>19</v>
      </c>
      <c r="Q54" s="239">
        <f t="shared" si="9"/>
        <v>13.778100072516317</v>
      </c>
      <c r="R54" s="143">
        <f>SUM($P$51:P54)</f>
        <v>402</v>
      </c>
      <c r="V54" s="142" t="s">
        <v>46</v>
      </c>
      <c r="W54" s="143">
        <v>73.8</v>
      </c>
      <c r="X54" s="239">
        <f t="shared" si="10"/>
        <v>15.263702171664942</v>
      </c>
      <c r="Y54" s="143">
        <f>SUM($W$51:W54)</f>
        <v>448.6</v>
      </c>
    </row>
    <row r="55" spans="2:25">
      <c r="F55" s="142" t="s">
        <v>46</v>
      </c>
      <c r="G55" s="143">
        <v>25.1</v>
      </c>
      <c r="H55" s="239">
        <f t="shared" si="8"/>
        <v>16.711051930758991</v>
      </c>
      <c r="I55" s="143">
        <f>SUM($G$51:G55)</f>
        <v>28.700000000000003</v>
      </c>
      <c r="O55" s="142" t="s">
        <v>48</v>
      </c>
      <c r="P55" s="143">
        <v>0.2</v>
      </c>
      <c r="Q55" s="239">
        <f t="shared" si="9"/>
        <v>0.14503263234227701</v>
      </c>
      <c r="R55" s="143">
        <f>SUM($P$51:P55)</f>
        <v>402.2</v>
      </c>
      <c r="V55" s="142" t="s">
        <v>48</v>
      </c>
      <c r="W55" s="143">
        <v>23.7</v>
      </c>
      <c r="X55" s="239">
        <f t="shared" si="10"/>
        <v>4.9017580144777657</v>
      </c>
      <c r="Y55" s="143">
        <f>SUM($W$51:W55)</f>
        <v>472.3</v>
      </c>
    </row>
    <row r="56" spans="2:25">
      <c r="F56" s="142" t="s">
        <v>48</v>
      </c>
      <c r="G56" s="143">
        <v>30.7</v>
      </c>
      <c r="H56" s="239">
        <f t="shared" si="8"/>
        <v>20.439414114513983</v>
      </c>
      <c r="I56" s="143">
        <f>SUM($G$51:G56)</f>
        <v>59.400000000000006</v>
      </c>
      <c r="O56" s="142" t="s">
        <v>49</v>
      </c>
      <c r="P56" s="143">
        <v>1.4</v>
      </c>
      <c r="Q56" s="239">
        <f t="shared" si="9"/>
        <v>1.015228426395939</v>
      </c>
      <c r="R56" s="143">
        <f>SUM($P$51:P56)</f>
        <v>403.59999999999997</v>
      </c>
      <c r="V56" s="142" t="s">
        <v>49</v>
      </c>
      <c r="W56" s="143">
        <v>11.2</v>
      </c>
      <c r="X56" s="239">
        <f t="shared" si="10"/>
        <v>2.3164426059979313</v>
      </c>
      <c r="Y56" s="143">
        <f>SUM($W$51:W56)</f>
        <v>483.5</v>
      </c>
    </row>
    <row r="57" spans="2:25" ht="15" thickBot="1">
      <c r="F57" s="142" t="s">
        <v>49</v>
      </c>
      <c r="G57" s="143">
        <v>90.8</v>
      </c>
      <c r="H57" s="239">
        <f t="shared" si="8"/>
        <v>60.452729693741681</v>
      </c>
      <c r="I57" s="143">
        <f>SUM($G$51:G57)</f>
        <v>150.19999999999999</v>
      </c>
      <c r="O57" s="152" t="s">
        <v>51</v>
      </c>
      <c r="P57" s="238">
        <f>SUM(P51:P56)</f>
        <v>403.59999999999997</v>
      </c>
      <c r="Q57" s="237">
        <f>SUM(Q51:Q56)</f>
        <v>292.67585206671504</v>
      </c>
      <c r="R57" s="236"/>
      <c r="V57" s="152" t="s">
        <v>51</v>
      </c>
      <c r="W57" s="238">
        <f>SUM(W51:W56)</f>
        <v>483.5</v>
      </c>
      <c r="X57" s="237">
        <f>SUM(X51:X56)</f>
        <v>100.00000000000001</v>
      </c>
      <c r="Y57" s="236"/>
    </row>
    <row r="58" spans="2:25" ht="15" thickBot="1">
      <c r="F58" s="152" t="s">
        <v>51</v>
      </c>
      <c r="G58" s="238">
        <f>SUM(G51:G57)</f>
        <v>150.19999999999999</v>
      </c>
      <c r="H58" s="237">
        <f>SUM(H51:H57)</f>
        <v>100</v>
      </c>
      <c r="I58" s="236"/>
    </row>
    <row r="61" spans="2:25" s="285" customFormat="1">
      <c r="E61" s="286"/>
    </row>
    <row r="62" spans="2:25">
      <c r="I62" s="469" t="s">
        <v>291</v>
      </c>
      <c r="J62" s="469"/>
      <c r="K62" s="469"/>
      <c r="L62" s="469"/>
      <c r="M62" s="469"/>
      <c r="N62" s="469"/>
      <c r="O62" s="469"/>
      <c r="P62" s="469"/>
      <c r="Q62" s="469"/>
      <c r="R62" s="469"/>
    </row>
    <row r="63" spans="2:25">
      <c r="I63" s="470"/>
      <c r="J63" s="470"/>
      <c r="K63" s="470"/>
      <c r="L63" s="470"/>
      <c r="M63" s="470"/>
      <c r="N63" s="470"/>
      <c r="O63" s="470"/>
      <c r="P63" s="470"/>
      <c r="Q63" s="470"/>
      <c r="R63" s="470"/>
    </row>
    <row r="64" spans="2:25" ht="15" thickBot="1">
      <c r="F64" s="471" t="s">
        <v>34</v>
      </c>
      <c r="G64" s="472"/>
      <c r="H64" s="472"/>
      <c r="I64" s="472"/>
      <c r="O64" s="471" t="s">
        <v>261</v>
      </c>
      <c r="P64" s="472"/>
      <c r="Q64" s="472"/>
      <c r="R64" s="472"/>
      <c r="V64" s="471" t="s">
        <v>260</v>
      </c>
      <c r="W64" s="472"/>
      <c r="X64" s="472"/>
      <c r="Y64" s="472"/>
    </row>
    <row r="65" spans="1:25" ht="45.75" customHeight="1" thickBot="1">
      <c r="B65" s="242" t="s">
        <v>259</v>
      </c>
      <c r="C65" s="242" t="s">
        <v>258</v>
      </c>
      <c r="D65" s="242" t="s">
        <v>257</v>
      </c>
      <c r="F65" s="242" t="s">
        <v>256</v>
      </c>
      <c r="G65" s="241" t="s">
        <v>255</v>
      </c>
      <c r="H65" s="240" t="s">
        <v>254</v>
      </c>
      <c r="I65" s="240" t="s">
        <v>253</v>
      </c>
      <c r="O65" s="242" t="s">
        <v>256</v>
      </c>
      <c r="P65" s="241" t="s">
        <v>255</v>
      </c>
      <c r="Q65" s="240" t="s">
        <v>254</v>
      </c>
      <c r="R65" s="240" t="s">
        <v>253</v>
      </c>
      <c r="V65" s="242" t="s">
        <v>256</v>
      </c>
      <c r="W65" s="241" t="s">
        <v>255</v>
      </c>
      <c r="X65" s="240" t="s">
        <v>254</v>
      </c>
      <c r="Y65" s="240" t="s">
        <v>253</v>
      </c>
    </row>
    <row r="66" spans="1:25">
      <c r="B66" s="184">
        <f>SUM(X68)</f>
        <v>1.9475655430711609</v>
      </c>
      <c r="C66" s="184">
        <f>SUM(H68:H69)</f>
        <v>68.663228877429589</v>
      </c>
      <c r="D66" s="184">
        <f>SUM(Q66:Q67)</f>
        <v>13.445378151260506</v>
      </c>
      <c r="F66" s="142" t="s">
        <v>39</v>
      </c>
      <c r="G66" s="143">
        <v>0</v>
      </c>
      <c r="H66" s="239">
        <f t="shared" ref="H66:H73" si="11">G66/$G$74*100</f>
        <v>0</v>
      </c>
      <c r="I66" s="143">
        <f>G66</f>
        <v>0</v>
      </c>
      <c r="O66" s="142" t="s">
        <v>39</v>
      </c>
      <c r="P66" s="143">
        <v>0</v>
      </c>
      <c r="Q66" s="239">
        <f t="shared" ref="Q66:Q71" si="12">P66/$P$72*100</f>
        <v>0</v>
      </c>
      <c r="R66" s="143">
        <f>P66</f>
        <v>0</v>
      </c>
      <c r="V66" s="142" t="s">
        <v>39</v>
      </c>
      <c r="W66" s="143">
        <v>6.3</v>
      </c>
      <c r="X66" s="239">
        <f t="shared" ref="X66:X71" si="13">W66/$W$72*100</f>
        <v>4.7191011235955056</v>
      </c>
      <c r="Y66" s="143">
        <f>W66</f>
        <v>6.3</v>
      </c>
    </row>
    <row r="67" spans="1:25">
      <c r="F67" s="142" t="s">
        <v>40</v>
      </c>
      <c r="G67" s="143">
        <v>3.6</v>
      </c>
      <c r="H67" s="239">
        <f t="shared" si="11"/>
        <v>1.4280047600158667</v>
      </c>
      <c r="I67" s="143">
        <f>SUM($G$66:G67)</f>
        <v>3.6</v>
      </c>
      <c r="O67" s="142" t="s">
        <v>40</v>
      </c>
      <c r="P67" s="143">
        <v>19.2</v>
      </c>
      <c r="Q67" s="239">
        <f t="shared" si="12"/>
        <v>13.445378151260506</v>
      </c>
      <c r="R67" s="143">
        <f>SUM($P$66:P67)</f>
        <v>19.2</v>
      </c>
      <c r="V67" s="142" t="s">
        <v>40</v>
      </c>
      <c r="W67" s="143">
        <v>124.6</v>
      </c>
      <c r="X67" s="239">
        <f t="shared" si="13"/>
        <v>93.333333333333329</v>
      </c>
      <c r="Y67" s="143">
        <f>SUM($W$66:W67)</f>
        <v>130.9</v>
      </c>
    </row>
    <row r="68" spans="1:25">
      <c r="F68" s="142" t="s">
        <v>45</v>
      </c>
      <c r="G68" s="143">
        <v>35.1</v>
      </c>
      <c r="H68" s="239">
        <f t="shared" si="11"/>
        <v>13.923046410154702</v>
      </c>
      <c r="I68" s="143">
        <f>SUM($G$66:G68)</f>
        <v>38.700000000000003</v>
      </c>
      <c r="O68" s="142" t="s">
        <v>43</v>
      </c>
      <c r="P68" s="143">
        <v>123.6</v>
      </c>
      <c r="Q68" s="239">
        <f t="shared" si="12"/>
        <v>86.554621848739501</v>
      </c>
      <c r="R68" s="143">
        <f>SUM($P$66:P68)</f>
        <v>142.79999999999998</v>
      </c>
      <c r="V68" s="142" t="s">
        <v>43</v>
      </c>
      <c r="W68" s="143">
        <v>2.6</v>
      </c>
      <c r="X68" s="239">
        <f t="shared" si="13"/>
        <v>1.9475655430711609</v>
      </c>
      <c r="Y68" s="143">
        <f>SUM($W$66:W68)</f>
        <v>133.5</v>
      </c>
    </row>
    <row r="69" spans="1:25">
      <c r="F69" s="142" t="s">
        <v>43</v>
      </c>
      <c r="G69" s="143">
        <v>138</v>
      </c>
      <c r="H69" s="239">
        <f t="shared" si="11"/>
        <v>54.740182467274892</v>
      </c>
      <c r="I69" s="143">
        <f>SUM($G$66:G69)</f>
        <v>176.7</v>
      </c>
      <c r="O69" s="142" t="s">
        <v>46</v>
      </c>
      <c r="P69" s="143">
        <v>0</v>
      </c>
      <c r="Q69" s="239">
        <f t="shared" si="12"/>
        <v>0</v>
      </c>
      <c r="R69" s="143">
        <f>SUM($P$66:P69)</f>
        <v>142.79999999999998</v>
      </c>
      <c r="V69" s="142" t="s">
        <v>46</v>
      </c>
      <c r="W69" s="143">
        <v>0</v>
      </c>
      <c r="X69" s="239">
        <f t="shared" si="13"/>
        <v>0</v>
      </c>
      <c r="Y69" s="143">
        <f>SUM($W$66:W69)</f>
        <v>133.5</v>
      </c>
    </row>
    <row r="70" spans="1:25">
      <c r="F70" s="142" t="s">
        <v>46</v>
      </c>
      <c r="G70" s="143">
        <v>72.400000000000006</v>
      </c>
      <c r="H70" s="239">
        <f t="shared" si="11"/>
        <v>28.718762395874659</v>
      </c>
      <c r="I70" s="143">
        <f>SUM($G$66:G70)</f>
        <v>249.1</v>
      </c>
      <c r="O70" s="142" t="s">
        <v>48</v>
      </c>
      <c r="P70" s="143">
        <v>0</v>
      </c>
      <c r="Q70" s="239">
        <f t="shared" si="12"/>
        <v>0</v>
      </c>
      <c r="R70" s="143">
        <f>SUM($P$66:P70)</f>
        <v>142.79999999999998</v>
      </c>
      <c r="V70" s="142" t="s">
        <v>48</v>
      </c>
      <c r="W70" s="143">
        <v>0</v>
      </c>
      <c r="X70" s="239">
        <f t="shared" si="13"/>
        <v>0</v>
      </c>
      <c r="Y70" s="143">
        <f>SUM($W$66:W70)</f>
        <v>133.5</v>
      </c>
    </row>
    <row r="71" spans="1:25">
      <c r="F71" s="142" t="s">
        <v>194</v>
      </c>
      <c r="G71" s="143">
        <v>0.8</v>
      </c>
      <c r="H71" s="239">
        <f t="shared" si="11"/>
        <v>0.31733439111463707</v>
      </c>
      <c r="I71" s="143">
        <f>SUM($G$66:G71)</f>
        <v>249.9</v>
      </c>
      <c r="O71" s="142" t="s">
        <v>49</v>
      </c>
      <c r="P71" s="143">
        <v>0</v>
      </c>
      <c r="Q71" s="239">
        <f t="shared" si="12"/>
        <v>0</v>
      </c>
      <c r="R71" s="143">
        <f>SUM($P$66:P71)</f>
        <v>142.79999999999998</v>
      </c>
      <c r="V71" s="142" t="s">
        <v>49</v>
      </c>
      <c r="W71" s="143">
        <v>0</v>
      </c>
      <c r="X71" s="239">
        <f t="shared" si="13"/>
        <v>0</v>
      </c>
      <c r="Y71" s="143">
        <f>SUM($W$66:W71)</f>
        <v>133.5</v>
      </c>
    </row>
    <row r="72" spans="1:25" ht="15" thickBot="1">
      <c r="F72" s="142" t="s">
        <v>48</v>
      </c>
      <c r="G72" s="143">
        <v>1.6</v>
      </c>
      <c r="H72" s="239">
        <f t="shared" si="11"/>
        <v>0.63466878222927414</v>
      </c>
      <c r="I72" s="143">
        <f>SUM($G$66:G72)</f>
        <v>251.5</v>
      </c>
      <c r="O72" s="152" t="s">
        <v>51</v>
      </c>
      <c r="P72" s="238">
        <f>SUM(P66:P71)</f>
        <v>142.79999999999998</v>
      </c>
      <c r="Q72" s="237">
        <f>SUM(Q66:Q71)</f>
        <v>100</v>
      </c>
      <c r="R72" s="236"/>
      <c r="V72" s="152" t="s">
        <v>51</v>
      </c>
      <c r="W72" s="238">
        <f>SUM(W66:W71)</f>
        <v>133.5</v>
      </c>
      <c r="X72" s="237">
        <f>SUM(X66:X71)</f>
        <v>100</v>
      </c>
      <c r="Y72" s="236"/>
    </row>
    <row r="73" spans="1:25">
      <c r="F73" s="142" t="s">
        <v>49</v>
      </c>
      <c r="G73" s="143">
        <v>0.6</v>
      </c>
      <c r="H73" s="239">
        <f t="shared" si="11"/>
        <v>0.23800079333597779</v>
      </c>
      <c r="I73" s="143">
        <f>SUM($G$66:G73)</f>
        <v>252.1</v>
      </c>
    </row>
    <row r="74" spans="1:25" ht="15" thickBot="1">
      <c r="F74" s="152" t="s">
        <v>51</v>
      </c>
      <c r="G74" s="238">
        <f>SUM(G66:G73)</f>
        <v>252.1</v>
      </c>
      <c r="H74" s="237">
        <f>SUM(H66:H73)</f>
        <v>100</v>
      </c>
      <c r="I74" s="236"/>
    </row>
    <row r="77" spans="1:25" s="285" customFormat="1">
      <c r="A77" s="286"/>
    </row>
  </sheetData>
  <mergeCells count="22">
    <mergeCell ref="AC5:AG5"/>
    <mergeCell ref="AH5:AK5"/>
    <mergeCell ref="AC4:AK4"/>
    <mergeCell ref="F20:I20"/>
    <mergeCell ref="O20:R20"/>
    <mergeCell ref="V20:Y20"/>
    <mergeCell ref="F4:I4"/>
    <mergeCell ref="O4:R4"/>
    <mergeCell ref="V4:Y4"/>
    <mergeCell ref="K1:AA3"/>
    <mergeCell ref="I47:R48"/>
    <mergeCell ref="I62:R63"/>
    <mergeCell ref="F64:I64"/>
    <mergeCell ref="O64:R64"/>
    <mergeCell ref="V64:Y64"/>
    <mergeCell ref="J37:M37"/>
    <mergeCell ref="F33:M33"/>
    <mergeCell ref="O33:V33"/>
    <mergeCell ref="S37:V37"/>
    <mergeCell ref="F49:I49"/>
    <mergeCell ref="O49:R49"/>
    <mergeCell ref="V49:Y49"/>
  </mergeCells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10</vt:i4>
      </vt:variant>
    </vt:vector>
  </HeadingPairs>
  <TitlesOfParts>
    <vt:vector size="26" baseType="lpstr">
      <vt:lpstr>N</vt:lpstr>
      <vt:lpstr>K</vt:lpstr>
      <vt:lpstr>P</vt:lpstr>
      <vt:lpstr>S</vt:lpstr>
      <vt:lpstr>B</vt:lpstr>
      <vt:lpstr>BA</vt:lpstr>
      <vt:lpstr>GSI - AUTOMÁTIC</vt:lpstr>
      <vt:lpstr>EXPORTAR_TUDO</vt:lpstr>
      <vt:lpstr>UMID-DUR-ESFER</vt:lpstr>
      <vt:lpstr>PAD - SOL</vt:lpstr>
      <vt:lpstr>GSI - Automatico - MYLIMS</vt:lpstr>
      <vt:lpstr>Exemple</vt:lpstr>
      <vt:lpstr>GRANUL. ANTIGA</vt:lpstr>
      <vt:lpstr>Bagunça</vt:lpstr>
      <vt:lpstr>Exportar_Análise</vt:lpstr>
      <vt:lpstr>GRANUL. MY LIMS</vt:lpstr>
      <vt:lpstr>B</vt:lpstr>
      <vt:lpstr>BA</vt:lpstr>
      <vt:lpstr>Granul_Retida1</vt:lpstr>
      <vt:lpstr>Granul_Retida2</vt:lpstr>
      <vt:lpstr>K</vt:lpstr>
      <vt:lpstr>N_Com</vt:lpstr>
      <vt:lpstr>N_Sem</vt:lpstr>
      <vt:lpstr>P</vt:lpstr>
      <vt:lpstr>S</vt:lpstr>
      <vt:lpstr>Salde</vt:lpstr>
    </vt:vector>
  </TitlesOfParts>
  <Manager/>
  <Company>Produquimica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Joao Batista | Compass Minerals</dc:creator>
  <cp:keywords/>
  <dc:description/>
  <cp:lastModifiedBy>ANDRÉ LUÍS RAMOS LEMES</cp:lastModifiedBy>
  <cp:revision/>
  <dcterms:created xsi:type="dcterms:W3CDTF">2020-06-11T20:20:04Z</dcterms:created>
  <dcterms:modified xsi:type="dcterms:W3CDTF">2024-08-19T01:17:18Z</dcterms:modified>
  <cp:category/>
  <cp:contentStatus/>
</cp:coreProperties>
</file>